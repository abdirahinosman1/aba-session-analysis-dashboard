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abdiosman/Downloads/"/>
    </mc:Choice>
  </mc:AlternateContent>
  <xr:revisionPtr revIDLastSave="0" documentId="13_ncr:1_{895734E9-26E7-484B-BE08-D4A8B07CEEDE}" xr6:coauthVersionLast="47" xr6:coauthVersionMax="47" xr10:uidLastSave="{00000000-0000-0000-0000-000000000000}"/>
  <bookViews>
    <workbookView xWindow="4000" yWindow="660" windowWidth="15420" windowHeight="16940" xr2:uid="{00000000-000D-0000-FFFF-FFFF00000000}"/>
  </bookViews>
  <sheets>
    <sheet name="RawData" sheetId="2" r:id="rId1"/>
    <sheet name="Cleaned_Data" sheetId="3" r:id="rId2"/>
    <sheet name="Data_Validation" sheetId="8" r:id="rId3"/>
    <sheet name="BTs_Analysis" sheetId="5" r:id="rId4"/>
    <sheet name="SessionLength_Analysis" sheetId="7" r:id="rId5"/>
    <sheet name="Consistency_Data" sheetId="6" r:id="rId6"/>
    <sheet name="Consistency_Analysis" sheetId="11" r:id="rId7"/>
    <sheet name="BTsSession_Analysis" sheetId="14" r:id="rId8"/>
    <sheet name="Gaps_Analysis" sheetId="15" r:id="rId9"/>
    <sheet name="Dashboard" sheetId="12" r:id="rId10"/>
  </sheets>
  <calcPr calcId="191029"/>
  <pivotCaches>
    <pivotCache cacheId="113" r:id="rId11"/>
    <pivotCache cacheId="111" r:id="rId12"/>
    <pivotCache cacheId="119"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9" i="6" l="1"/>
  <c r="M29" i="6" s="1"/>
  <c r="L28" i="6"/>
  <c r="M28" i="6" s="1"/>
  <c r="L27" i="6"/>
  <c r="M27" i="6" s="1"/>
  <c r="L26" i="6"/>
  <c r="M26" i="6" s="1"/>
  <c r="M23" i="6"/>
  <c r="M13" i="6"/>
  <c r="L21" i="6"/>
  <c r="M21" i="6" s="1"/>
  <c r="L22" i="6"/>
  <c r="M22" i="6" s="1"/>
  <c r="L23" i="6"/>
  <c r="L20" i="6"/>
  <c r="M20" i="6" s="1"/>
  <c r="L17" i="6"/>
  <c r="M17" i="6" s="1"/>
  <c r="L11" i="6"/>
  <c r="M11" i="6" s="1"/>
  <c r="L12" i="6"/>
  <c r="M12" i="6" s="1"/>
  <c r="L13" i="6"/>
  <c r="L14" i="6"/>
  <c r="M14" i="6" s="1"/>
  <c r="L10" i="6"/>
  <c r="M10" i="6" s="1"/>
  <c r="G9" i="6"/>
  <c r="G10" i="6"/>
  <c r="G11" i="6"/>
  <c r="G12" i="6"/>
  <c r="H12" i="6" s="1"/>
  <c r="G13" i="6"/>
  <c r="H13" i="6" s="1"/>
  <c r="G14" i="6"/>
  <c r="H14" i="6" s="1"/>
  <c r="G15" i="6"/>
  <c r="H15" i="6" s="1"/>
  <c r="G16" i="6"/>
  <c r="H16" i="6" s="1"/>
  <c r="G17" i="6"/>
  <c r="G18" i="6"/>
  <c r="H18" i="6" s="1"/>
  <c r="G19" i="6"/>
  <c r="H19" i="6" s="1"/>
  <c r="G20" i="6"/>
  <c r="H20" i="6" s="1"/>
  <c r="G21" i="6"/>
  <c r="H21" i="6" s="1"/>
  <c r="G22" i="6"/>
  <c r="H22" i="6" s="1"/>
  <c r="G23" i="6"/>
  <c r="H23" i="6" s="1"/>
  <c r="G24" i="6"/>
  <c r="H24" i="6" s="1"/>
  <c r="G25" i="6"/>
  <c r="H9" i="6"/>
  <c r="H10" i="6"/>
  <c r="H11" i="6"/>
  <c r="H17" i="6"/>
  <c r="H25" i="6"/>
</calcChain>
</file>

<file path=xl/sharedStrings.xml><?xml version="1.0" encoding="utf-8"?>
<sst xmlns="http://schemas.openxmlformats.org/spreadsheetml/2006/main" count="2870" uniqueCount="88">
  <si>
    <t>programType</t>
  </si>
  <si>
    <t>programName</t>
  </si>
  <si>
    <t>date</t>
  </si>
  <si>
    <t>sessionLength</t>
  </si>
  <si>
    <t>therapistName</t>
  </si>
  <si>
    <t>masteryCriteria</t>
  </si>
  <si>
    <t>masterySessions</t>
  </si>
  <si>
    <t>phase</t>
  </si>
  <si>
    <t>listNumAndName</t>
  </si>
  <si>
    <t>target</t>
  </si>
  <si>
    <t>trialNumber</t>
  </si>
  <si>
    <t>score</t>
  </si>
  <si>
    <t>targetPercentCorrect</t>
  </si>
  <si>
    <t>listPercentCorrect</t>
  </si>
  <si>
    <t>Trials</t>
  </si>
  <si>
    <t>Adaptive Skills: Following Two-Step Directions</t>
  </si>
  <si>
    <t>2026-02-03T18:00:00Z</t>
  </si>
  <si>
    <t>3.1 hr/s</t>
  </si>
  <si>
    <t>BT A</t>
  </si>
  <si>
    <t>85%</t>
  </si>
  <si>
    <t>Treatment</t>
  </si>
  <si>
    <t>2: Follows verbal instruction sequence during play routines</t>
  </si>
  <si>
    <t>When BT states a two-step direction, client completes both steps within 10 seconds without prompting.</t>
  </si>
  <si>
    <t>Incorrect</t>
  </si>
  <si>
    <t>71.43%</t>
  </si>
  <si>
    <t>Correct</t>
  </si>
  <si>
    <t>2026-02-04T19:00:00Z</t>
  </si>
  <si>
    <t>5 hr/s</t>
  </si>
  <si>
    <t>55.56%</t>
  </si>
  <si>
    <t>2026-02-05T21:00:00Z</t>
  </si>
  <si>
    <t>2 hr/s</t>
  </si>
  <si>
    <t>87.50%</t>
  </si>
  <si>
    <t>2026-02-08T19:00:00Z</t>
  </si>
  <si>
    <t>BT C</t>
  </si>
  <si>
    <t>33.33%</t>
  </si>
  <si>
    <t>2026-02-09T19:00:00Z</t>
  </si>
  <si>
    <t>3.7 hr/s</t>
  </si>
  <si>
    <t>50%</t>
  </si>
  <si>
    <t>2026-02-12T20:00:00Z</t>
  </si>
  <si>
    <t>1.7 hr/s</t>
  </si>
  <si>
    <t>BT B</t>
  </si>
  <si>
    <t>2026-02-16T21:00:00Z</t>
  </si>
  <si>
    <t>4.4 hr/s</t>
  </si>
  <si>
    <t>BT D</t>
  </si>
  <si>
    <t>85.71%</t>
  </si>
  <si>
    <t>2026-02-17T21:00:00Z</t>
  </si>
  <si>
    <t>58.33%</t>
  </si>
  <si>
    <t>2026-02-20T20:00:00Z</t>
  </si>
  <si>
    <t>2026-02-24T19:00:00Z</t>
  </si>
  <si>
    <t>2.3 hr/s</t>
  </si>
  <si>
    <t>62.50%</t>
  </si>
  <si>
    <t>2026-02-25T19:00:00Z</t>
  </si>
  <si>
    <t>57.14%</t>
  </si>
  <si>
    <t>2026-02-28T19:00:00Z</t>
  </si>
  <si>
    <t>90%</t>
  </si>
  <si>
    <t>2026-03-04T19:00:00Z</t>
  </si>
  <si>
    <t>2.8 hr/s</t>
  </si>
  <si>
    <t>100%</t>
  </si>
  <si>
    <t>2026-03-05T20:00:00Z</t>
  </si>
  <si>
    <t>70%</t>
  </si>
  <si>
    <t>2026-03-09T20:00:00Z</t>
  </si>
  <si>
    <t>4 hr/s</t>
  </si>
  <si>
    <t>77.78%</t>
  </si>
  <si>
    <t>2026-03-13T19:00:00Z</t>
  </si>
  <si>
    <t>2026-03-14T18:00:00Z</t>
  </si>
  <si>
    <t>2026-03-18T20:00:00Z</t>
  </si>
  <si>
    <t>81.82%</t>
  </si>
  <si>
    <t>Grand Total</t>
  </si>
  <si>
    <t>BTs</t>
  </si>
  <si>
    <t>Average % Correct</t>
  </si>
  <si>
    <t>Session Lengths</t>
  </si>
  <si>
    <t>Count of date</t>
  </si>
  <si>
    <t>Count of target</t>
  </si>
  <si>
    <t>Data Validation: Trials per Session (by Date)</t>
  </si>
  <si>
    <t>Date</t>
  </si>
  <si>
    <t>Consistency</t>
  </si>
  <si>
    <t>Gap between Sessions</t>
  </si>
  <si>
    <t>Dates</t>
  </si>
  <si>
    <t>Consistent</t>
  </si>
  <si>
    <t>Inconsistent</t>
  </si>
  <si>
    <t>Average of Average % Correct</t>
  </si>
  <si>
    <t>Consistency'</t>
  </si>
  <si>
    <t>Average Percentage Correct</t>
  </si>
  <si>
    <t xml:space="preserve">	Average % Correct	</t>
  </si>
  <si>
    <t>Synthetic dataset — patterns may not reflect real-world trends</t>
  </si>
  <si>
    <t>BTs and Date</t>
  </si>
  <si>
    <t>The differences in performance between BTs don’t follow a clear pattern and are likely influenced by multiple factors. The variability in the data suggests the program may not be run the same way across therapists, or that there are other factors not captured here—like prompting style, client behavior, or session context—that are affecting outcomes. Since the data doesn’t show a clear pattern, a quick meeting with BTs A, B, C, and D could help identify any differences in how the program is being run.</t>
  </si>
  <si>
    <t>Gaps between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</si>
</sst>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0" x14ac:knownFonts="1">
    <font>
      <sz val="11"/>
      <color theme="1"/>
      <name val="Calibri"/>
      <family val="2"/>
      <scheme val="minor"/>
    </font>
    <font>
      <sz val="12"/>
      <color theme="1"/>
      <name val="Calibri"/>
      <family val="2"/>
      <scheme val="minor"/>
    </font>
    <font>
      <b/>
      <sz val="11"/>
      <name val="Calibri"/>
      <family val="2"/>
    </font>
    <font>
      <sz val="11"/>
      <color theme="1"/>
      <name val="Calibri"/>
      <family val="2"/>
      <scheme val="minor"/>
    </font>
    <font>
      <b/>
      <sz val="12"/>
      <color theme="1"/>
      <name val="Calibri"/>
      <family val="2"/>
      <scheme val="minor"/>
    </font>
    <font>
      <b/>
      <sz val="11"/>
      <color theme="0"/>
      <name val="Calibri"/>
      <family val="2"/>
      <scheme val="minor"/>
    </font>
    <font>
      <b/>
      <sz val="11"/>
      <color theme="1"/>
      <name val="Calibri"/>
      <family val="2"/>
      <scheme val="minor"/>
    </font>
    <font>
      <sz val="14"/>
      <color theme="1"/>
      <name val="Calibri"/>
      <family val="2"/>
      <scheme val="minor"/>
    </font>
    <font>
      <b/>
      <sz val="14"/>
      <color theme="1"/>
      <name val="Calibri (Body)"/>
    </font>
    <font>
      <b/>
      <sz val="12"/>
      <color theme="1"/>
      <name val="Calibri (Body)"/>
    </font>
  </fonts>
  <fills count="3">
    <fill>
      <patternFill patternType="none"/>
    </fill>
    <fill>
      <patternFill patternType="gray125"/>
    </fill>
    <fill>
      <patternFill patternType="solid">
        <fgColor theme="4"/>
        <bgColor theme="4"/>
      </patternFill>
    </fill>
  </fills>
  <borders count="6">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47">
    <xf numFmtId="0" fontId="0" fillId="0" borderId="0" xfId="0"/>
    <xf numFmtId="0" fontId="2" fillId="0" borderId="0" xfId="0" applyFont="1"/>
    <xf numFmtId="10" fontId="0" fillId="0" borderId="0" xfId="0" applyNumberFormat="1"/>
    <xf numFmtId="9" fontId="0" fillId="0" borderId="0" xfId="0" applyNumberFormat="1"/>
    <xf numFmtId="14" fontId="0" fillId="0" borderId="0" xfId="0" applyNumberFormat="1" applyAlignment="1">
      <alignment horizontal="center"/>
    </xf>
    <xf numFmtId="14" fontId="0" fillId="0" borderId="0" xfId="0" applyNumberFormat="1" applyAlignment="1">
      <alignment horizontal="left" indent="1"/>
    </xf>
    <xf numFmtId="166" fontId="0" fillId="0" borderId="0" xfId="0" applyNumberFormat="1"/>
    <xf numFmtId="0" fontId="0" fillId="0" borderId="0" xfId="0" applyAlignment="1">
      <alignment horizontal="center"/>
    </xf>
    <xf numFmtId="0" fontId="0" fillId="0" borderId="0" xfId="0" pivotButton="1" applyAlignment="1">
      <alignment horizontal="center"/>
    </xf>
    <xf numFmtId="166" fontId="0" fillId="0" borderId="0" xfId="0" applyNumberFormat="1" applyAlignment="1">
      <alignment horizontal="center"/>
    </xf>
    <xf numFmtId="0" fontId="0" fillId="0" borderId="0" xfId="0" applyAlignment="1">
      <alignment horizontal="center" vertical="center"/>
    </xf>
    <xf numFmtId="0" fontId="0" fillId="0" borderId="0" xfId="0" pivotButton="1" applyAlignment="1">
      <alignment horizontal="center" vertical="center"/>
    </xf>
    <xf numFmtId="166" fontId="0" fillId="0" borderId="0" xfId="0" applyNumberFormat="1" applyAlignment="1">
      <alignment horizontal="center" vertical="center"/>
    </xf>
    <xf numFmtId="0" fontId="7" fillId="0" borderId="0" xfId="0" applyFont="1" applyAlignment="1">
      <alignment horizontal="left"/>
    </xf>
    <xf numFmtId="166" fontId="7" fillId="0" borderId="0" xfId="0" applyNumberFormat="1" applyFont="1"/>
    <xf numFmtId="0" fontId="7" fillId="0" borderId="0" xfId="0" applyFont="1"/>
    <xf numFmtId="0" fontId="7" fillId="0" borderId="0" xfId="0" pivotButton="1" applyFont="1"/>
    <xf numFmtId="0" fontId="0" fillId="0" borderId="0" xfId="0" applyAlignment="1">
      <alignment horizontal="center"/>
    </xf>
    <xf numFmtId="0" fontId="7" fillId="0" borderId="0" xfId="0" pivotButton="1" applyFont="1" applyAlignment="1">
      <alignment horizontal="center" vertical="center"/>
    </xf>
    <xf numFmtId="0" fontId="7" fillId="0" borderId="0" xfId="0" applyFont="1" applyAlignment="1">
      <alignment horizontal="center" vertical="center"/>
    </xf>
    <xf numFmtId="166" fontId="7" fillId="0" borderId="0" xfId="0" applyNumberFormat="1" applyFont="1" applyAlignment="1">
      <alignment horizontal="center" vertical="center"/>
    </xf>
    <xf numFmtId="14" fontId="0" fillId="0" borderId="0" xfId="0" applyNumberFormat="1" applyAlignment="1">
      <alignment horizontal="center" vertical="center"/>
    </xf>
    <xf numFmtId="166" fontId="0" fillId="0" borderId="0" xfId="1" applyNumberFormat="1" applyFont="1" applyAlignment="1">
      <alignment horizontal="center" vertical="center"/>
    </xf>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0" fontId="8" fillId="0" borderId="0" xfId="0" applyFont="1" applyAlignment="1">
      <alignment horizontal="center"/>
    </xf>
    <xf numFmtId="0" fontId="4" fillId="0" borderId="0" xfId="0" applyFont="1" applyAlignment="1">
      <alignment vertical="center"/>
    </xf>
    <xf numFmtId="0" fontId="0" fillId="0" borderId="0" xfId="0" applyAlignment="1"/>
    <xf numFmtId="0" fontId="4" fillId="0" borderId="0" xfId="0" applyFont="1" applyAlignment="1">
      <alignment horizontal="center" vertical="center"/>
    </xf>
    <xf numFmtId="0" fontId="6" fillId="0" borderId="3" xfId="0" applyFont="1" applyBorder="1" applyAlignment="1">
      <alignment horizontal="left"/>
    </xf>
    <xf numFmtId="166" fontId="6" fillId="0" borderId="3" xfId="0" applyNumberFormat="1" applyFont="1" applyBorder="1"/>
    <xf numFmtId="0" fontId="5"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0" fillId="0" borderId="0" xfId="0" applyAlignment="1">
      <alignment vertical="center"/>
    </xf>
    <xf numFmtId="0" fontId="0" fillId="0" borderId="0" xfId="0" applyAlignment="1">
      <alignment horizontal="left" vertical="center"/>
    </xf>
    <xf numFmtId="14" fontId="6" fillId="0" borderId="3" xfId="0" applyNumberFormat="1" applyFont="1" applyBorder="1" applyAlignment="1">
      <alignment horizontal="left"/>
    </xf>
    <xf numFmtId="166" fontId="6" fillId="0" borderId="3" xfId="0" applyNumberFormat="1" applyFont="1" applyBorder="1" applyAlignment="1">
      <alignment horizontal="center" vertical="center"/>
    </xf>
    <xf numFmtId="0" fontId="5" fillId="0" borderId="4"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0" fillId="0" borderId="0" xfId="0" applyAlignment="1">
      <alignment vertical="top" wrapText="1"/>
    </xf>
    <xf numFmtId="0" fontId="1" fillId="0" borderId="0" xfId="0" applyFont="1" applyAlignment="1">
      <alignment vertical="center"/>
    </xf>
    <xf numFmtId="0" fontId="0" fillId="0" borderId="0" xfId="0" applyFont="1" applyAlignment="1">
      <alignment vertical="center"/>
    </xf>
    <xf numFmtId="0" fontId="8" fillId="0" borderId="0" xfId="0" applyFont="1" applyAlignment="1"/>
    <xf numFmtId="0" fontId="1" fillId="0" borderId="0" xfId="0" applyFont="1" applyAlignment="1">
      <alignment horizontal="center" vertical="center" wrapText="1"/>
    </xf>
    <xf numFmtId="0" fontId="9" fillId="0" borderId="0" xfId="0" applyFont="1" applyAlignment="1">
      <alignment horizontal="center" wrapText="1"/>
    </xf>
  </cellXfs>
  <cellStyles count="2">
    <cellStyle name="Normal" xfId="0" builtinId="0"/>
    <cellStyle name="Percent" xfId="1" builtinId="5"/>
  </cellStyles>
  <dxfs count="95">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fill>
        <patternFill>
          <bgColor theme="6" tint="0.39994506668294322"/>
        </patternFill>
      </fill>
    </dxf>
    <dxf>
      <fill>
        <patternFill>
          <bgColor theme="5" tint="0.39994506668294322"/>
        </patternFill>
      </fill>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9" formatCode="m/d/yy"/>
    </dxf>
    <dxf>
      <alignment horizontal="center" textRotation="0" wrapText="0" indent="0" justifyLastLine="0" shrinkToFit="0" readingOrder="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9" formatCode="m/d/yy"/>
      <alignment horizontal="center" vertical="center" textRotation="0" wrapText="0" indent="0" justifyLastLine="0" shrinkToFit="0" readingOrder="0"/>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font>
        <sz val="14"/>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9" formatCode="m/d/yy"/>
      <alignment horizontal="center" vertical="bottom" textRotation="0" wrapText="0" indent="0" justifyLastLine="0" shrinkToFit="0" readingOrder="0"/>
    </dxf>
    <dxf>
      <numFmt numFmtId="14" formatCode="0.00%"/>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[Excel_Project.xlsx]Consistency_Analysis!Consistency_PivotTable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Effect of Session Consistency on Performance Outcomes</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pivotFmt>
    </c:pivotFmts>
    <c:plotArea>
      <c:layout/>
      <c:barChart>
        <c:barDir val="bar"/>
        <c:grouping val="clustered"/>
        <c:varyColors val="0"/>
        <c:ser>
          <c:idx val="0"/>
          <c:order val="0"/>
          <c:tx>
            <c:strRef>
              <c:f>Consistency_Analysis!$D$8</c:f>
              <c:strCache>
                <c:ptCount val="1"/>
                <c:pt idx="0">
                  <c:v>Total</c:v>
                </c:pt>
              </c:strCache>
            </c:strRef>
          </c:tx>
          <c:spPr>
            <a:solidFill>
              <a:schemeClr val="accent2">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1-AA06-024E-AD27-2BFD2B817FC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Consistency_Analysis!$C$9:$C$11</c:f>
              <c:strCache>
                <c:ptCount val="2"/>
                <c:pt idx="0">
                  <c:v>Consistent</c:v>
                </c:pt>
                <c:pt idx="1">
                  <c:v>Inconsistent</c:v>
                </c:pt>
              </c:strCache>
            </c:strRef>
          </c:cat>
          <c:val>
            <c:numRef>
              <c:f>Consistency_Analysis!$D$9:$D$11</c:f>
              <c:numCache>
                <c:formatCode>0.0%</c:formatCode>
                <c:ptCount val="2"/>
                <c:pt idx="0">
                  <c:v>0.62238571428571443</c:v>
                </c:pt>
                <c:pt idx="1">
                  <c:v>0.70971000000000006</c:v>
                </c:pt>
              </c:numCache>
            </c:numRef>
          </c:val>
          <c:extLst>
            <c:ext xmlns:c16="http://schemas.microsoft.com/office/drawing/2014/chart" uri="{C3380CC4-5D6E-409C-BE32-E72D297353CC}">
              <c16:uniqueId val="{00000002-AA06-024E-AD27-2BFD2B817FC2}"/>
            </c:ext>
          </c:extLst>
        </c:ser>
        <c:dLbls>
          <c:dLblPos val="outEnd"/>
          <c:showLegendKey val="0"/>
          <c:showVal val="1"/>
          <c:showCatName val="0"/>
          <c:showSerName val="0"/>
          <c:showPercent val="0"/>
          <c:showBubbleSize val="0"/>
        </c:dLbls>
        <c:gapWidth val="182"/>
        <c:axId val="1108007040"/>
        <c:axId val="1126251840"/>
      </c:barChart>
      <c:catAx>
        <c:axId val="1108007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251840"/>
        <c:crosses val="autoZero"/>
        <c:auto val="1"/>
        <c:lblAlgn val="ctr"/>
        <c:lblOffset val="100"/>
        <c:noMultiLvlLbl val="0"/>
      </c:catAx>
      <c:valAx>
        <c:axId val="112625184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00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[Excel_Project.xlsx]BTs_Analysis!BTsAnalysis_PivotTable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Effects of Different</a:t>
            </a:r>
            <a:r>
              <a:rPr lang="en-US" baseline="0"/>
              <a:t> Behavior Therapist on Performance Outcomes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chemeClr val="accent2"/>
          </a:solidFill>
          <a:ln>
            <a:noFill/>
          </a:ln>
          <a:effectLst/>
        </c:spPr>
      </c:pivotFmt>
      <c:pivotFmt>
        <c:idx val="3"/>
        <c:spPr>
          <a:solidFill>
            <a:schemeClr val="accent4"/>
          </a:solidFill>
          <a:ln>
            <a:noFill/>
          </a:ln>
          <a:effectLst/>
        </c:spPr>
      </c:pivotFmt>
      <c:pivotFmt>
        <c:idx val="4"/>
        <c:spPr>
          <a:solidFill>
            <a:schemeClr val="accent6"/>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chemeClr val="accent4"/>
          </a:solidFill>
          <a:ln>
            <a:noFill/>
          </a:ln>
          <a:effectLst/>
        </c:spPr>
      </c:pivotFmt>
      <c:pivotFmt>
        <c:idx val="8"/>
        <c:spPr>
          <a:solidFill>
            <a:schemeClr val="accent2"/>
          </a:solidFill>
          <a:ln>
            <a:noFill/>
          </a:ln>
          <a:effectLst/>
        </c:spPr>
      </c:pivotFmt>
      <c:pivotFmt>
        <c:idx val="9"/>
        <c:spPr>
          <a:solidFill>
            <a:srgbClr val="00B05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pivotFmt>
      <c:pivotFmt>
        <c:idx val="12"/>
        <c:spPr>
          <a:solidFill>
            <a:schemeClr val="accent4"/>
          </a:solidFill>
          <a:ln>
            <a:noFill/>
          </a:ln>
          <a:effectLst/>
        </c:spPr>
      </c:pivotFmt>
      <c:pivotFmt>
        <c:idx val="13"/>
        <c:spPr>
          <a:solidFill>
            <a:schemeClr val="accent2"/>
          </a:solidFill>
          <a:ln>
            <a:noFill/>
          </a:ln>
          <a:effectLst/>
        </c:spPr>
      </c:pivotFmt>
      <c:pivotFmt>
        <c:idx val="14"/>
        <c:spPr>
          <a:solidFill>
            <a:srgbClr val="00B050"/>
          </a:solidFill>
          <a:ln>
            <a:noFill/>
          </a:ln>
          <a:effectLst/>
        </c:spPr>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BTs_Analysis!$H$5</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EB13-B342-BE31-363C63BF7D2E}"/>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EB13-B342-BE31-363C63BF7D2E}"/>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EB13-B342-BE31-363C63BF7D2E}"/>
              </c:ext>
            </c:extLst>
          </c:dPt>
          <c:dPt>
            <c:idx val="3"/>
            <c:invertIfNegative val="0"/>
            <c:bubble3D val="0"/>
            <c:spPr>
              <a:solidFill>
                <a:srgbClr val="00B050"/>
              </a:solidFill>
              <a:ln>
                <a:noFill/>
              </a:ln>
              <a:effectLst/>
            </c:spPr>
            <c:extLst>
              <c:ext xmlns:c16="http://schemas.microsoft.com/office/drawing/2014/chart" uri="{C3380CC4-5D6E-409C-BE32-E72D297353CC}">
                <c16:uniqueId val="{00000007-EB13-B342-BE31-363C63BF7D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BTs_Analysis!$G$6:$G$10</c:f>
              <c:strCache>
                <c:ptCount val="4"/>
                <c:pt idx="0">
                  <c:v>BT A</c:v>
                </c:pt>
                <c:pt idx="1">
                  <c:v>BT B</c:v>
                </c:pt>
                <c:pt idx="2">
                  <c:v>BT C</c:v>
                </c:pt>
                <c:pt idx="3">
                  <c:v>BT D</c:v>
                </c:pt>
              </c:strCache>
            </c:strRef>
          </c:cat>
          <c:val>
            <c:numRef>
              <c:f>BTs_Analysis!$H$6:$H$10</c:f>
              <c:numCache>
                <c:formatCode>0.0%</c:formatCode>
                <c:ptCount val="4"/>
                <c:pt idx="0">
                  <c:v>0.72341063829787211</c:v>
                </c:pt>
                <c:pt idx="1">
                  <c:v>0.63156315789473683</c:v>
                </c:pt>
                <c:pt idx="2">
                  <c:v>0.51350270270270282</c:v>
                </c:pt>
                <c:pt idx="3">
                  <c:v>0.7954522727272727</c:v>
                </c:pt>
              </c:numCache>
            </c:numRef>
          </c:val>
          <c:extLst>
            <c:ext xmlns:c16="http://schemas.microsoft.com/office/drawing/2014/chart" uri="{C3380CC4-5D6E-409C-BE32-E72D297353CC}">
              <c16:uniqueId val="{00000008-EB13-B342-BE31-363C63BF7D2E}"/>
            </c:ext>
          </c:extLst>
        </c:ser>
        <c:dLbls>
          <c:showLegendKey val="0"/>
          <c:showVal val="0"/>
          <c:showCatName val="0"/>
          <c:showSerName val="0"/>
          <c:showPercent val="0"/>
          <c:showBubbleSize val="0"/>
        </c:dLbls>
        <c:gapWidth val="182"/>
        <c:axId val="856390080"/>
        <c:axId val="845399808"/>
      </c:barChart>
      <c:catAx>
        <c:axId val="856390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99808"/>
        <c:crosses val="autoZero"/>
        <c:auto val="1"/>
        <c:lblAlgn val="ctr"/>
        <c:lblOffset val="100"/>
        <c:noMultiLvlLbl val="0"/>
      </c:catAx>
      <c:valAx>
        <c:axId val="84539980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6390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[Excel_Project.xlsx]SessionLength_Analysis!SessionLength_PivotTable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Effects of Session</a:t>
            </a:r>
            <a:r>
              <a:rPr lang="en-US" baseline="0"/>
              <a:t> Length Impact on Performance Outcomes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pivotFmt>
      <c:pivotFmt>
        <c:idx val="2"/>
        <c:spPr>
          <a:solidFill>
            <a:schemeClr val="bg2">
              <a:lumMod val="50000"/>
            </a:schemeClr>
          </a:solidFill>
          <a:ln>
            <a:noFill/>
          </a:ln>
          <a:effectLst/>
        </c:spPr>
      </c:pivotFmt>
      <c:pivotFmt>
        <c:idx val="3"/>
        <c:spPr>
          <a:solidFill>
            <a:schemeClr val="accent5"/>
          </a:solidFill>
          <a:ln>
            <a:noFill/>
          </a:ln>
          <a:effectLst/>
        </c:spPr>
      </c:pivotFmt>
      <c:pivotFmt>
        <c:idx val="4"/>
        <c:spPr>
          <a:solidFill>
            <a:schemeClr val="accent2"/>
          </a:solidFill>
          <a:ln>
            <a:noFill/>
          </a:ln>
          <a:effectLst/>
        </c:spPr>
      </c:pivotFmt>
      <c:pivotFmt>
        <c:idx val="5"/>
        <c:spPr>
          <a:solidFill>
            <a:schemeClr val="accent6"/>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pivotFmt>
      <c:pivotFmt>
        <c:idx val="8"/>
        <c:spPr>
          <a:solidFill>
            <a:schemeClr val="accent2"/>
          </a:solidFill>
          <a:ln>
            <a:noFill/>
          </a:ln>
          <a:effectLst/>
        </c:spPr>
      </c:pivotFmt>
      <c:pivotFmt>
        <c:idx val="9"/>
        <c:spPr>
          <a:solidFill>
            <a:schemeClr val="accent5"/>
          </a:solidFill>
          <a:ln>
            <a:noFill/>
          </a:ln>
          <a:effectLst/>
        </c:spPr>
      </c:pivotFmt>
      <c:pivotFmt>
        <c:idx val="10"/>
        <c:spPr>
          <a:solidFill>
            <a:schemeClr val="bg2">
              <a:lumMod val="50000"/>
            </a:schemeClr>
          </a:solidFill>
          <a:ln>
            <a:noFill/>
          </a:ln>
          <a:effectLst/>
        </c:spPr>
      </c:pivotFmt>
      <c:pivotFmt>
        <c:idx val="11"/>
        <c:spPr>
          <a:solidFill>
            <a:schemeClr val="tx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pivotFmt>
      <c:pivotFmt>
        <c:idx val="14"/>
        <c:spPr>
          <a:solidFill>
            <a:schemeClr val="accent2"/>
          </a:solidFill>
          <a:ln>
            <a:noFill/>
          </a:ln>
          <a:effectLst/>
        </c:spPr>
      </c:pivotFmt>
      <c:pivotFmt>
        <c:idx val="15"/>
        <c:spPr>
          <a:solidFill>
            <a:schemeClr val="accent5"/>
          </a:solidFill>
          <a:ln>
            <a:noFill/>
          </a:ln>
          <a:effectLst/>
        </c:spPr>
      </c:pivotFmt>
      <c:pivotFmt>
        <c:idx val="16"/>
        <c:spPr>
          <a:solidFill>
            <a:schemeClr val="bg2">
              <a:lumMod val="50000"/>
            </a:schemeClr>
          </a:solidFill>
          <a:ln>
            <a:noFill/>
          </a:ln>
          <a:effectLst/>
        </c:spPr>
      </c:pivotFmt>
      <c:pivotFmt>
        <c:idx val="17"/>
        <c:spPr>
          <a:solidFill>
            <a:schemeClr val="tx1"/>
          </a:solidFill>
          <a:ln>
            <a:noFill/>
          </a:ln>
          <a:effectLst/>
        </c:spPr>
      </c:pivotFmt>
    </c:pivotFmts>
    <c:plotArea>
      <c:layout/>
      <c:barChart>
        <c:barDir val="bar"/>
        <c:grouping val="clustered"/>
        <c:varyColors val="0"/>
        <c:ser>
          <c:idx val="0"/>
          <c:order val="0"/>
          <c:tx>
            <c:strRef>
              <c:f>SessionLength_Analysis!$B$3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2393-654D-BC6B-1972ECD7C573}"/>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393-654D-BC6B-1972ECD7C573}"/>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2393-654D-BC6B-1972ECD7C573}"/>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7-2393-654D-BC6B-1972ECD7C573}"/>
              </c:ext>
            </c:extLst>
          </c:dPt>
          <c:dPt>
            <c:idx val="4"/>
            <c:invertIfNegative val="0"/>
            <c:bubble3D val="0"/>
            <c:spPr>
              <a:solidFill>
                <a:schemeClr val="tx1"/>
              </a:solidFill>
              <a:ln>
                <a:noFill/>
              </a:ln>
              <a:effectLst/>
            </c:spPr>
            <c:extLst>
              <c:ext xmlns:c16="http://schemas.microsoft.com/office/drawing/2014/chart" uri="{C3380CC4-5D6E-409C-BE32-E72D297353CC}">
                <c16:uniqueId val="{00000009-2393-654D-BC6B-1972ECD7C5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SessionLength_Analysis!$A$4:$A$9</c:f>
              <c:strCache>
                <c:ptCount val="5"/>
                <c:pt idx="0">
                  <c:v>1</c:v>
                </c:pt>
                <c:pt idx="1">
                  <c:v>2</c:v>
                </c:pt>
                <c:pt idx="2">
                  <c:v>3</c:v>
                </c:pt>
                <c:pt idx="3">
                  <c:v>4</c:v>
                </c:pt>
                <c:pt idx="4">
                  <c:v>5</c:v>
                </c:pt>
              </c:strCache>
            </c:strRef>
          </c:cat>
          <c:val>
            <c:numRef>
              <c:f>SessionLength_Analysis!$B$4:$B$9</c:f>
              <c:numCache>
                <c:formatCode>0.0%</c:formatCode>
                <c:ptCount val="5"/>
                <c:pt idx="0">
                  <c:v>0.64284999999999992</c:v>
                </c:pt>
                <c:pt idx="1">
                  <c:v>0.64614153846153843</c:v>
                </c:pt>
                <c:pt idx="2">
                  <c:v>0.72000399999999998</c:v>
                </c:pt>
                <c:pt idx="3">
                  <c:v>0.76470294117647086</c:v>
                </c:pt>
                <c:pt idx="4">
                  <c:v>0.55559999999999998</c:v>
                </c:pt>
              </c:numCache>
            </c:numRef>
          </c:val>
          <c:extLst>
            <c:ext xmlns:c16="http://schemas.microsoft.com/office/drawing/2014/chart" uri="{C3380CC4-5D6E-409C-BE32-E72D297353CC}">
              <c16:uniqueId val="{0000000A-2393-654D-BC6B-1972ECD7C573}"/>
            </c:ext>
          </c:extLst>
        </c:ser>
        <c:dLbls>
          <c:dLblPos val="outEnd"/>
          <c:showLegendKey val="0"/>
          <c:showVal val="1"/>
          <c:showCatName val="0"/>
          <c:showSerName val="0"/>
          <c:showPercent val="0"/>
          <c:showBubbleSize val="0"/>
        </c:dLbls>
        <c:gapWidth val="182"/>
        <c:axId val="1059536896"/>
        <c:axId val="1099003904"/>
      </c:barChart>
      <c:catAx>
        <c:axId val="105953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003904"/>
        <c:crosses val="autoZero"/>
        <c:auto val="1"/>
        <c:lblAlgn val="ctr"/>
        <c:lblOffset val="100"/>
        <c:noMultiLvlLbl val="0"/>
      </c:catAx>
      <c:valAx>
        <c:axId val="109900390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53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182032</xdr:rowOff>
    </xdr:from>
    <xdr:to>
      <xdr:col>5</xdr:col>
      <xdr:colOff>812800</xdr:colOff>
      <xdr:row>18</xdr:row>
      <xdr:rowOff>190499</xdr:rowOff>
    </xdr:to>
    <xdr:graphicFrame macro="">
      <xdr:nvGraphicFramePr>
        <xdr:cNvPr id="2" name="Chart 1">
          <a:extLst>
            <a:ext uri="{FF2B5EF4-FFF2-40B4-BE49-F238E27FC236}">
              <a16:creationId xmlns:a16="http://schemas.microsoft.com/office/drawing/2014/main" id="{F73E355C-9D38-1647-B073-490CA8E1A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184598</xdr:rowOff>
    </xdr:from>
    <xdr:to>
      <xdr:col>5</xdr:col>
      <xdr:colOff>815750</xdr:colOff>
      <xdr:row>43</xdr:row>
      <xdr:rowOff>15393</xdr:rowOff>
    </xdr:to>
    <xdr:graphicFrame macro="">
      <xdr:nvGraphicFramePr>
        <xdr:cNvPr id="4" name="Chart 3">
          <a:extLst>
            <a:ext uri="{FF2B5EF4-FFF2-40B4-BE49-F238E27FC236}">
              <a16:creationId xmlns:a16="http://schemas.microsoft.com/office/drawing/2014/main" id="{09A6D619-85DE-6649-BC54-CEFBCE3E2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1085661</xdr:colOff>
      <xdr:row>1</xdr:row>
      <xdr:rowOff>0</xdr:rowOff>
    </xdr:from>
    <xdr:to>
      <xdr:col>10</xdr:col>
      <xdr:colOff>1333500</xdr:colOff>
      <xdr:row>18</xdr:row>
      <xdr:rowOff>182033</xdr:rowOff>
    </xdr:to>
    <xdr:graphicFrame macro="">
      <xdr:nvGraphicFramePr>
        <xdr:cNvPr id="3" name="Chart 2">
          <a:extLst>
            <a:ext uri="{FF2B5EF4-FFF2-40B4-BE49-F238E27FC236}">
              <a16:creationId xmlns:a16="http://schemas.microsoft.com/office/drawing/2014/main" id="{1FBA92AF-A165-2042-8133-509C7D9BA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i Osman" refreshedDate="46118.971263657404" createdVersion="8" refreshedVersion="8" minRefreshableVersion="3" recordCount="147" xr:uid="{820275BD-8355-F043-8008-59960DB041F5}">
  <cacheSource type="worksheet">
    <worksheetSource name="CleanedData_Table"/>
  </cacheSource>
  <cacheFields count="16">
    <cacheField name="programType" numFmtId="0">
      <sharedItems/>
    </cacheField>
    <cacheField name="programName" numFmtId="0">
      <sharedItems/>
    </cacheField>
    <cacheField name="date" numFmtId="14">
      <sharedItems containsSemiMixedTypes="0" containsNonDate="0" containsDate="1" containsString="0" minDate="2026-02-03T00:00:00" maxDate="2026-03-19T00:00:00" count="18">
        <d v="2026-02-03T00:00:00"/>
        <d v="2026-02-04T00:00:00"/>
        <d v="2026-02-05T00:00:00"/>
        <d v="2026-02-08T00:00:00"/>
        <d v="2026-02-09T00:00:00"/>
        <d v="2026-02-12T00:00:00"/>
        <d v="2026-02-16T00:00:00"/>
        <d v="2026-02-17T00:00:00"/>
        <d v="2026-02-20T00:00:00"/>
        <d v="2026-02-24T00:00:00"/>
        <d v="2026-02-25T00:00:00"/>
        <d v="2026-02-28T00:00:00"/>
        <d v="2026-03-04T00:00:00"/>
        <d v="2026-03-05T00:00:00"/>
        <d v="2026-03-09T00:00:00"/>
        <d v="2026-03-13T00:00:00"/>
        <d v="2026-03-14T00:00:00"/>
        <d v="2026-03-18T00:00:00"/>
      </sharedItems>
      <fieldGroup par="15"/>
    </cacheField>
    <cacheField name="sessionLength" numFmtId="0">
      <sharedItems containsSemiMixedTypes="0" containsString="0" containsNumber="1" containsInteger="1" minValue="1" maxValue="5" count="5">
        <n v="3"/>
        <n v="5"/>
        <n v="2"/>
        <n v="1"/>
        <n v="4"/>
      </sharedItems>
    </cacheField>
    <cacheField name="therapistName" numFmtId="0">
      <sharedItems count="4">
        <s v="BT A"/>
        <s v="BT C"/>
        <s v="BT B"/>
        <s v="BT D"/>
      </sharedItems>
    </cacheField>
    <cacheField name="masteryCriteria" numFmtId="9">
      <sharedItems containsSemiMixedTypes="0" containsString="0" containsNumber="1" minValue="0.85" maxValue="0.85"/>
    </cacheField>
    <cacheField name="masterySessions" numFmtId="0">
      <sharedItems containsSemiMixedTypes="0" containsString="0" containsNumber="1" containsInteger="1" minValue="5" maxValue="5"/>
    </cacheField>
    <cacheField name="phase" numFmtId="0">
      <sharedItems/>
    </cacheField>
    <cacheField name="listNumAndName" numFmtId="0">
      <sharedItems/>
    </cacheField>
    <cacheField name="target" numFmtId="0">
      <sharedItems count="1">
        <s v="When BT states a two-step direction, client completes both steps within 10 seconds without prompting."/>
      </sharedItems>
    </cacheField>
    <cacheField name="trialNumber" numFmtId="0">
      <sharedItems containsSemiMixedTypes="0" containsString="0" containsNumber="1" containsInteger="1" minValue="1" maxValue="12" count="12">
        <n v="1"/>
        <n v="2"/>
        <n v="3"/>
        <n v="4"/>
        <n v="5"/>
        <n v="6"/>
        <n v="7"/>
        <n v="8"/>
        <n v="9"/>
        <n v="10"/>
        <n v="11"/>
        <n v="12"/>
      </sharedItems>
    </cacheField>
    <cacheField name="score" numFmtId="0">
      <sharedItems/>
    </cacheField>
    <cacheField name="targetPercentCorrect" numFmtId="10">
      <sharedItems containsSemiMixedTypes="0" containsString="0" containsNumber="1" minValue="0.33329999999999999" maxValue="1"/>
    </cacheField>
    <cacheField name="listPercentCorrect" numFmtId="10">
      <sharedItems containsSemiMixedTypes="0" containsString="0" containsNumber="1" minValue="0.33329999999999999" maxValue="1"/>
    </cacheField>
    <cacheField name="Days (date)" numFmtId="0" databaseField="0">
      <fieldGroup base="2">
        <rangePr groupBy="days" startDate="2026-02-03T00:00:00" endDate="2026-03-19T00:00:00"/>
        <groupItems count="368">
          <s v="&lt;2/3/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19/26"/>
        </groupItems>
      </fieldGroup>
    </cacheField>
    <cacheField name="Months (date)" numFmtId="0" databaseField="0">
      <fieldGroup base="2">
        <rangePr groupBy="months" startDate="2026-02-03T00:00:00" endDate="2026-03-19T00:00:00"/>
        <groupItems count="14">
          <s v="&lt;2/3/26"/>
          <s v="Jan"/>
          <s v="Feb"/>
          <s v="Mar"/>
          <s v="Apr"/>
          <s v="May"/>
          <s v="Jun"/>
          <s v="Jul"/>
          <s v="Aug"/>
          <s v="Sep"/>
          <s v="Oct"/>
          <s v="Nov"/>
          <s v="Dec"/>
          <s v="&gt;3/19/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i Osman" refreshedDate="46118.997323611111" createdVersion="8" refreshedVersion="8" minRefreshableVersion="3" recordCount="18" xr:uid="{98F15EDA-757F-9447-B1CA-58DAEFE9369C}">
  <cacheSource type="worksheet">
    <worksheetSource name="Consistency_Table"/>
  </cacheSource>
  <cacheFields count="4">
    <cacheField name="Dates" numFmtId="14">
      <sharedItems containsSemiMixedTypes="0" containsNonDate="0" containsDate="1" containsString="0" minDate="2026-02-03T00:00:00" maxDate="2026-03-19T00:00:00"/>
    </cacheField>
    <cacheField name="Average % Correct" numFmtId="166">
      <sharedItems containsSemiMixedTypes="0" containsString="0" containsNumber="1" minValue="0.33329999999999999" maxValue="1"/>
    </cacheField>
    <cacheField name="Gap between Sessions" numFmtId="0">
      <sharedItems containsString="0" containsBlank="1" containsNumber="1" containsInteger="1" minValue="1" maxValue="4"/>
    </cacheField>
    <cacheField name="Consistency" numFmtId="0">
      <sharedItems containsBlank="1" count="3">
        <m/>
        <s v="Consistent"/>
        <s v="Inconsisten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i Osman" refreshedDate="46119.048116550926" createdVersion="8" refreshedVersion="8" minRefreshableVersion="3" recordCount="22" xr:uid="{6E79CAE4-EA9C-6549-8944-C4B2A289572F}">
  <cacheSource type="worksheet">
    <worksheetSource name="Table5"/>
  </cacheSource>
  <cacheFields count="4">
    <cacheField name="BTs and Date" numFmtId="0">
      <sharedItems containsDate="1" containsMixedTypes="1" minDate="2026-02-03T00:00:00" maxDate="2026-03-19T00:00:00" count="22">
        <s v="BT A"/>
        <d v="2026-02-03T00:00:00"/>
        <d v="2026-02-04T00:00:00"/>
        <d v="2026-02-05T00:00:00"/>
        <d v="2026-03-04T00:00:00"/>
        <d v="2026-03-05T00:00:00"/>
        <d v="2026-03-14T00:00:00"/>
        <s v="BT B"/>
        <d v="2026-02-12T00:00:00"/>
        <d v="2026-02-17T00:00:00"/>
        <s v="BT C"/>
        <d v="2026-02-08T00:00:00"/>
        <d v="2026-02-09T00:00:00"/>
        <d v="2026-02-20T00:00:00"/>
        <d v="2026-02-24T00:00:00"/>
        <d v="2026-02-25T00:00:00"/>
        <s v="BT D"/>
        <d v="2026-02-16T00:00:00"/>
        <d v="2026-02-28T00:00:00"/>
        <d v="2026-03-09T00:00:00"/>
        <d v="2026-03-13T00:00:00"/>
        <d v="2026-03-18T00:00:00"/>
      </sharedItems>
    </cacheField>
    <cacheField name="Average % Correct" numFmtId="166">
      <sharedItems containsSemiMixedTypes="0" containsString="0" containsNumber="1" minValue="0.33329999999999999" maxValue="1"/>
    </cacheField>
    <cacheField name="Gap between Sessions" numFmtId="0">
      <sharedItems containsString="0" containsBlank="1" containsNumber="1" containsInteger="1" minValue="1" maxValue="27" count="8">
        <m/>
        <n v="1"/>
        <n v="27"/>
        <n v="9"/>
        <n v="5"/>
        <n v="11"/>
        <n v="4"/>
        <n v="12"/>
      </sharedItems>
    </cacheField>
    <cacheField name="Consistency" numFmtId="0">
      <sharedItems containsBlank="1" count="3">
        <m/>
        <s v="Consistent"/>
        <s v="Inconsisten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s v="Trials"/>
    <s v="Adaptive Skills: Following Two-Step Directions"/>
    <x v="0"/>
    <x v="0"/>
    <x v="0"/>
    <n v="0.85"/>
    <n v="5"/>
    <s v="Treatment"/>
    <s v="2: Follows verbal instruction sequence during play routines"/>
    <x v="0"/>
    <x v="0"/>
    <s v="Incorrect"/>
    <n v="0.71430000000000005"/>
    <n v="0.71430000000000005"/>
  </r>
  <r>
    <s v="Trials"/>
    <s v="Adaptive Skills: Following Two-Step Directions"/>
    <x v="0"/>
    <x v="0"/>
    <x v="0"/>
    <n v="0.85"/>
    <n v="5"/>
    <s v="Treatment"/>
    <s v="2: Follows verbal instruction sequence during play routines"/>
    <x v="0"/>
    <x v="1"/>
    <s v="Correct"/>
    <n v="0.71430000000000005"/>
    <n v="0.71430000000000005"/>
  </r>
  <r>
    <s v="Trials"/>
    <s v="Adaptive Skills: Following Two-Step Directions"/>
    <x v="0"/>
    <x v="0"/>
    <x v="0"/>
    <n v="0.85"/>
    <n v="5"/>
    <s v="Treatment"/>
    <s v="2: Follows verbal instruction sequence during play routines"/>
    <x v="0"/>
    <x v="2"/>
    <s v="Incorrect"/>
    <n v="0.71430000000000005"/>
    <n v="0.71430000000000005"/>
  </r>
  <r>
    <s v="Trials"/>
    <s v="Adaptive Skills: Following Two-Step Directions"/>
    <x v="0"/>
    <x v="0"/>
    <x v="0"/>
    <n v="0.85"/>
    <n v="5"/>
    <s v="Treatment"/>
    <s v="2: Follows verbal instruction sequence during play routines"/>
    <x v="0"/>
    <x v="3"/>
    <s v="Correct"/>
    <n v="0.71430000000000005"/>
    <n v="0.71430000000000005"/>
  </r>
  <r>
    <s v="Trials"/>
    <s v="Adaptive Skills: Following Two-Step Directions"/>
    <x v="0"/>
    <x v="0"/>
    <x v="0"/>
    <n v="0.85"/>
    <n v="5"/>
    <s v="Treatment"/>
    <s v="2: Follows verbal instruction sequence during play routines"/>
    <x v="0"/>
    <x v="4"/>
    <s v="Correct"/>
    <n v="0.71430000000000005"/>
    <n v="0.71430000000000005"/>
  </r>
  <r>
    <s v="Trials"/>
    <s v="Adaptive Skills: Following Two-Step Directions"/>
    <x v="0"/>
    <x v="0"/>
    <x v="0"/>
    <n v="0.85"/>
    <n v="5"/>
    <s v="Treatment"/>
    <s v="2: Follows verbal instruction sequence during play routines"/>
    <x v="0"/>
    <x v="5"/>
    <s v="Correct"/>
    <n v="0.71430000000000005"/>
    <n v="0.71430000000000005"/>
  </r>
  <r>
    <s v="Trials"/>
    <s v="Adaptive Skills: Following Two-Step Directions"/>
    <x v="0"/>
    <x v="0"/>
    <x v="0"/>
    <n v="0.85"/>
    <n v="5"/>
    <s v="Treatment"/>
    <s v="2: Follows verbal instruction sequence during play routines"/>
    <x v="0"/>
    <x v="6"/>
    <s v="Correct"/>
    <n v="0.71430000000000005"/>
    <n v="0.71430000000000005"/>
  </r>
  <r>
    <s v="Trials"/>
    <s v="Adaptive Skills: Following Two-Step Directions"/>
    <x v="1"/>
    <x v="1"/>
    <x v="0"/>
    <n v="0.85"/>
    <n v="5"/>
    <s v="Treatment"/>
    <s v="2: Follows verbal instruction sequence during play routines"/>
    <x v="0"/>
    <x v="0"/>
    <s v="Correct"/>
    <n v="0.55559999999999998"/>
    <n v="0.55559999999999998"/>
  </r>
  <r>
    <s v="Trials"/>
    <s v="Adaptive Skills: Following Two-Step Directions"/>
    <x v="1"/>
    <x v="1"/>
    <x v="0"/>
    <n v="0.85"/>
    <n v="5"/>
    <s v="Treatment"/>
    <s v="2: Follows verbal instruction sequence during play routines"/>
    <x v="0"/>
    <x v="1"/>
    <s v="Incorrect"/>
    <n v="0.55559999999999998"/>
    <n v="0.55559999999999998"/>
  </r>
  <r>
    <s v="Trials"/>
    <s v="Adaptive Skills: Following Two-Step Directions"/>
    <x v="1"/>
    <x v="1"/>
    <x v="0"/>
    <n v="0.85"/>
    <n v="5"/>
    <s v="Treatment"/>
    <s v="2: Follows verbal instruction sequence during play routines"/>
    <x v="0"/>
    <x v="2"/>
    <s v="Correct"/>
    <n v="0.55559999999999998"/>
    <n v="0.55559999999999998"/>
  </r>
  <r>
    <s v="Trials"/>
    <s v="Adaptive Skills: Following Two-Step Directions"/>
    <x v="1"/>
    <x v="1"/>
    <x v="0"/>
    <n v="0.85"/>
    <n v="5"/>
    <s v="Treatment"/>
    <s v="2: Follows verbal instruction sequence during play routines"/>
    <x v="0"/>
    <x v="3"/>
    <s v="Incorrect"/>
    <n v="0.55559999999999998"/>
    <n v="0.55559999999999998"/>
  </r>
  <r>
    <s v="Trials"/>
    <s v="Adaptive Skills: Following Two-Step Directions"/>
    <x v="1"/>
    <x v="1"/>
    <x v="0"/>
    <n v="0.85"/>
    <n v="5"/>
    <s v="Treatment"/>
    <s v="2: Follows verbal instruction sequence during play routines"/>
    <x v="0"/>
    <x v="4"/>
    <s v="Incorrect"/>
    <n v="0.55559999999999998"/>
    <n v="0.55559999999999998"/>
  </r>
  <r>
    <s v="Trials"/>
    <s v="Adaptive Skills: Following Two-Step Directions"/>
    <x v="1"/>
    <x v="1"/>
    <x v="0"/>
    <n v="0.85"/>
    <n v="5"/>
    <s v="Treatment"/>
    <s v="2: Follows verbal instruction sequence during play routines"/>
    <x v="0"/>
    <x v="5"/>
    <s v="Correct"/>
    <n v="0.55559999999999998"/>
    <n v="0.55559999999999998"/>
  </r>
  <r>
    <s v="Trials"/>
    <s v="Adaptive Skills: Following Two-Step Directions"/>
    <x v="1"/>
    <x v="1"/>
    <x v="0"/>
    <n v="0.85"/>
    <n v="5"/>
    <s v="Treatment"/>
    <s v="2: Follows verbal instruction sequence during play routines"/>
    <x v="0"/>
    <x v="6"/>
    <s v="Correct"/>
    <n v="0.55559999999999998"/>
    <n v="0.55559999999999998"/>
  </r>
  <r>
    <s v="Trials"/>
    <s v="Adaptive Skills: Following Two-Step Directions"/>
    <x v="1"/>
    <x v="1"/>
    <x v="0"/>
    <n v="0.85"/>
    <n v="5"/>
    <s v="Treatment"/>
    <s v="2: Follows verbal instruction sequence during play routines"/>
    <x v="0"/>
    <x v="7"/>
    <s v="Incorrect"/>
    <n v="0.55559999999999998"/>
    <n v="0.55559999999999998"/>
  </r>
  <r>
    <s v="Trials"/>
    <s v="Adaptive Skills: Following Two-Step Directions"/>
    <x v="1"/>
    <x v="1"/>
    <x v="0"/>
    <n v="0.85"/>
    <n v="5"/>
    <s v="Treatment"/>
    <s v="2: Follows verbal instruction sequence during play routines"/>
    <x v="0"/>
    <x v="8"/>
    <s v="Correct"/>
    <n v="0.55559999999999998"/>
    <n v="0.55559999999999998"/>
  </r>
  <r>
    <s v="Trials"/>
    <s v="Adaptive Skills: Following Two-Step Directions"/>
    <x v="2"/>
    <x v="2"/>
    <x v="0"/>
    <n v="0.85"/>
    <n v="5"/>
    <s v="Treatment"/>
    <s v="2: Follows verbal instruction sequence during play routines"/>
    <x v="0"/>
    <x v="0"/>
    <s v="Correct"/>
    <n v="0.875"/>
    <n v="0.875"/>
  </r>
  <r>
    <s v="Trials"/>
    <s v="Adaptive Skills: Following Two-Step Directions"/>
    <x v="2"/>
    <x v="2"/>
    <x v="0"/>
    <n v="0.85"/>
    <n v="5"/>
    <s v="Treatment"/>
    <s v="2: Follows verbal instruction sequence during play routines"/>
    <x v="0"/>
    <x v="1"/>
    <s v="Correct"/>
    <n v="0.875"/>
    <n v="0.875"/>
  </r>
  <r>
    <s v="Trials"/>
    <s v="Adaptive Skills: Following Two-Step Directions"/>
    <x v="2"/>
    <x v="2"/>
    <x v="0"/>
    <n v="0.85"/>
    <n v="5"/>
    <s v="Treatment"/>
    <s v="2: Follows verbal instruction sequence during play routines"/>
    <x v="0"/>
    <x v="2"/>
    <s v="Correct"/>
    <n v="0.875"/>
    <n v="0.875"/>
  </r>
  <r>
    <s v="Trials"/>
    <s v="Adaptive Skills: Following Two-Step Directions"/>
    <x v="2"/>
    <x v="2"/>
    <x v="0"/>
    <n v="0.85"/>
    <n v="5"/>
    <s v="Treatment"/>
    <s v="2: Follows verbal instruction sequence during play routines"/>
    <x v="0"/>
    <x v="3"/>
    <s v="Correct"/>
    <n v="0.875"/>
    <n v="0.875"/>
  </r>
  <r>
    <s v="Trials"/>
    <s v="Adaptive Skills: Following Two-Step Directions"/>
    <x v="2"/>
    <x v="2"/>
    <x v="0"/>
    <n v="0.85"/>
    <n v="5"/>
    <s v="Treatment"/>
    <s v="2: Follows verbal instruction sequence during play routines"/>
    <x v="0"/>
    <x v="4"/>
    <s v="Incorrect"/>
    <n v="0.875"/>
    <n v="0.875"/>
  </r>
  <r>
    <s v="Trials"/>
    <s v="Adaptive Skills: Following Two-Step Directions"/>
    <x v="2"/>
    <x v="2"/>
    <x v="0"/>
    <n v="0.85"/>
    <n v="5"/>
    <s v="Treatment"/>
    <s v="2: Follows verbal instruction sequence during play routines"/>
    <x v="0"/>
    <x v="5"/>
    <s v="Correct"/>
    <n v="0.875"/>
    <n v="0.875"/>
  </r>
  <r>
    <s v="Trials"/>
    <s v="Adaptive Skills: Following Two-Step Directions"/>
    <x v="2"/>
    <x v="2"/>
    <x v="0"/>
    <n v="0.85"/>
    <n v="5"/>
    <s v="Treatment"/>
    <s v="2: Follows verbal instruction sequence during play routines"/>
    <x v="0"/>
    <x v="6"/>
    <s v="Correct"/>
    <n v="0.875"/>
    <n v="0.875"/>
  </r>
  <r>
    <s v="Trials"/>
    <s v="Adaptive Skills: Following Two-Step Directions"/>
    <x v="2"/>
    <x v="2"/>
    <x v="0"/>
    <n v="0.85"/>
    <n v="5"/>
    <s v="Treatment"/>
    <s v="2: Follows verbal instruction sequence during play routines"/>
    <x v="0"/>
    <x v="7"/>
    <s v="Correct"/>
    <n v="0.875"/>
    <n v="0.875"/>
  </r>
  <r>
    <s v="Trials"/>
    <s v="Adaptive Skills: Following Two-Step Directions"/>
    <x v="3"/>
    <x v="2"/>
    <x v="1"/>
    <n v="0.85"/>
    <n v="5"/>
    <s v="Treatment"/>
    <s v="2: Follows verbal instruction sequence during play routines"/>
    <x v="0"/>
    <x v="0"/>
    <s v="Incorrect"/>
    <n v="0.33329999999999999"/>
    <n v="0.33329999999999999"/>
  </r>
  <r>
    <s v="Trials"/>
    <s v="Adaptive Skills: Following Two-Step Directions"/>
    <x v="3"/>
    <x v="2"/>
    <x v="1"/>
    <n v="0.85"/>
    <n v="5"/>
    <s v="Treatment"/>
    <s v="2: Follows verbal instruction sequence during play routines"/>
    <x v="0"/>
    <x v="1"/>
    <s v="Incorrect"/>
    <n v="0.33329999999999999"/>
    <n v="0.33329999999999999"/>
  </r>
  <r>
    <s v="Trials"/>
    <s v="Adaptive Skills: Following Two-Step Directions"/>
    <x v="3"/>
    <x v="2"/>
    <x v="1"/>
    <n v="0.85"/>
    <n v="5"/>
    <s v="Treatment"/>
    <s v="2: Follows verbal instruction sequence during play routines"/>
    <x v="0"/>
    <x v="2"/>
    <s v="Incorrect"/>
    <n v="0.33329999999999999"/>
    <n v="0.33329999999999999"/>
  </r>
  <r>
    <s v="Trials"/>
    <s v="Adaptive Skills: Following Two-Step Directions"/>
    <x v="3"/>
    <x v="2"/>
    <x v="1"/>
    <n v="0.85"/>
    <n v="5"/>
    <s v="Treatment"/>
    <s v="2: Follows verbal instruction sequence during play routines"/>
    <x v="0"/>
    <x v="3"/>
    <s v="Incorrect"/>
    <n v="0.33329999999999999"/>
    <n v="0.33329999999999999"/>
  </r>
  <r>
    <s v="Trials"/>
    <s v="Adaptive Skills: Following Two-Step Directions"/>
    <x v="3"/>
    <x v="2"/>
    <x v="1"/>
    <n v="0.85"/>
    <n v="5"/>
    <s v="Treatment"/>
    <s v="2: Follows verbal instruction sequence during play routines"/>
    <x v="0"/>
    <x v="4"/>
    <s v="Correct"/>
    <n v="0.33329999999999999"/>
    <n v="0.33329999999999999"/>
  </r>
  <r>
    <s v="Trials"/>
    <s v="Adaptive Skills: Following Two-Step Directions"/>
    <x v="3"/>
    <x v="2"/>
    <x v="1"/>
    <n v="0.85"/>
    <n v="5"/>
    <s v="Treatment"/>
    <s v="2: Follows verbal instruction sequence during play routines"/>
    <x v="0"/>
    <x v="5"/>
    <s v="Correct"/>
    <n v="0.33329999999999999"/>
    <n v="0.33329999999999999"/>
  </r>
  <r>
    <s v="Trials"/>
    <s v="Adaptive Skills: Following Two-Step Directions"/>
    <x v="4"/>
    <x v="0"/>
    <x v="1"/>
    <n v="0.85"/>
    <n v="5"/>
    <s v="Treatment"/>
    <s v="2: Follows verbal instruction sequence during play routines"/>
    <x v="0"/>
    <x v="0"/>
    <s v="Correct"/>
    <n v="0.5"/>
    <n v="0.5"/>
  </r>
  <r>
    <s v="Trials"/>
    <s v="Adaptive Skills: Following Two-Step Directions"/>
    <x v="4"/>
    <x v="0"/>
    <x v="1"/>
    <n v="0.85"/>
    <n v="5"/>
    <s v="Treatment"/>
    <s v="2: Follows verbal instruction sequence during play routines"/>
    <x v="0"/>
    <x v="1"/>
    <s v="Incorrect"/>
    <n v="0.5"/>
    <n v="0.5"/>
  </r>
  <r>
    <s v="Trials"/>
    <s v="Adaptive Skills: Following Two-Step Directions"/>
    <x v="4"/>
    <x v="0"/>
    <x v="1"/>
    <n v="0.85"/>
    <n v="5"/>
    <s v="Treatment"/>
    <s v="2: Follows verbal instruction sequence during play routines"/>
    <x v="0"/>
    <x v="2"/>
    <s v="Incorrect"/>
    <n v="0.5"/>
    <n v="0.5"/>
  </r>
  <r>
    <s v="Trials"/>
    <s v="Adaptive Skills: Following Two-Step Directions"/>
    <x v="4"/>
    <x v="0"/>
    <x v="1"/>
    <n v="0.85"/>
    <n v="5"/>
    <s v="Treatment"/>
    <s v="2: Follows verbal instruction sequence during play routines"/>
    <x v="0"/>
    <x v="3"/>
    <s v="Incorrect"/>
    <n v="0.5"/>
    <n v="0.5"/>
  </r>
  <r>
    <s v="Trials"/>
    <s v="Adaptive Skills: Following Two-Step Directions"/>
    <x v="4"/>
    <x v="0"/>
    <x v="1"/>
    <n v="0.85"/>
    <n v="5"/>
    <s v="Treatment"/>
    <s v="2: Follows verbal instruction sequence during play routines"/>
    <x v="0"/>
    <x v="4"/>
    <s v="Correct"/>
    <n v="0.5"/>
    <n v="0.5"/>
  </r>
  <r>
    <s v="Trials"/>
    <s v="Adaptive Skills: Following Two-Step Directions"/>
    <x v="4"/>
    <x v="0"/>
    <x v="1"/>
    <n v="0.85"/>
    <n v="5"/>
    <s v="Treatment"/>
    <s v="2: Follows verbal instruction sequence during play routines"/>
    <x v="0"/>
    <x v="5"/>
    <s v="Incorrect"/>
    <n v="0.5"/>
    <n v="0.5"/>
  </r>
  <r>
    <s v="Trials"/>
    <s v="Adaptive Skills: Following Two-Step Directions"/>
    <x v="4"/>
    <x v="0"/>
    <x v="1"/>
    <n v="0.85"/>
    <n v="5"/>
    <s v="Treatment"/>
    <s v="2: Follows verbal instruction sequence during play routines"/>
    <x v="0"/>
    <x v="6"/>
    <s v="Correct"/>
    <n v="0.5"/>
    <n v="0.5"/>
  </r>
  <r>
    <s v="Trials"/>
    <s v="Adaptive Skills: Following Two-Step Directions"/>
    <x v="4"/>
    <x v="0"/>
    <x v="1"/>
    <n v="0.85"/>
    <n v="5"/>
    <s v="Treatment"/>
    <s v="2: Follows verbal instruction sequence during play routines"/>
    <x v="0"/>
    <x v="7"/>
    <s v="Correct"/>
    <n v="0.5"/>
    <n v="0.5"/>
  </r>
  <r>
    <s v="Trials"/>
    <s v="Adaptive Skills: Following Two-Step Directions"/>
    <x v="5"/>
    <x v="3"/>
    <x v="2"/>
    <n v="0.85"/>
    <n v="5"/>
    <s v="Treatment"/>
    <s v="2: Follows verbal instruction sequence during play routines"/>
    <x v="0"/>
    <x v="0"/>
    <s v="Incorrect"/>
    <n v="0.71430000000000005"/>
    <n v="0.71430000000000005"/>
  </r>
  <r>
    <s v="Trials"/>
    <s v="Adaptive Skills: Following Two-Step Directions"/>
    <x v="5"/>
    <x v="3"/>
    <x v="2"/>
    <n v="0.85"/>
    <n v="5"/>
    <s v="Treatment"/>
    <s v="2: Follows verbal instruction sequence during play routines"/>
    <x v="0"/>
    <x v="1"/>
    <s v="Correct"/>
    <n v="0.71430000000000005"/>
    <n v="0.71430000000000005"/>
  </r>
  <r>
    <s v="Trials"/>
    <s v="Adaptive Skills: Following Two-Step Directions"/>
    <x v="5"/>
    <x v="3"/>
    <x v="2"/>
    <n v="0.85"/>
    <n v="5"/>
    <s v="Treatment"/>
    <s v="2: Follows verbal instruction sequence during play routines"/>
    <x v="0"/>
    <x v="2"/>
    <s v="Correct"/>
    <n v="0.71430000000000005"/>
    <n v="0.71430000000000005"/>
  </r>
  <r>
    <s v="Trials"/>
    <s v="Adaptive Skills: Following Two-Step Directions"/>
    <x v="5"/>
    <x v="3"/>
    <x v="2"/>
    <n v="0.85"/>
    <n v="5"/>
    <s v="Treatment"/>
    <s v="2: Follows verbal instruction sequence during play routines"/>
    <x v="0"/>
    <x v="3"/>
    <s v="Incorrect"/>
    <n v="0.71430000000000005"/>
    <n v="0.71430000000000005"/>
  </r>
  <r>
    <s v="Trials"/>
    <s v="Adaptive Skills: Following Two-Step Directions"/>
    <x v="5"/>
    <x v="3"/>
    <x v="2"/>
    <n v="0.85"/>
    <n v="5"/>
    <s v="Treatment"/>
    <s v="2: Follows verbal instruction sequence during play routines"/>
    <x v="0"/>
    <x v="4"/>
    <s v="Correct"/>
    <n v="0.71430000000000005"/>
    <n v="0.71430000000000005"/>
  </r>
  <r>
    <s v="Trials"/>
    <s v="Adaptive Skills: Following Two-Step Directions"/>
    <x v="5"/>
    <x v="3"/>
    <x v="2"/>
    <n v="0.85"/>
    <n v="5"/>
    <s v="Treatment"/>
    <s v="2: Follows verbal instruction sequence during play routines"/>
    <x v="0"/>
    <x v="5"/>
    <s v="Correct"/>
    <n v="0.71430000000000005"/>
    <n v="0.71430000000000005"/>
  </r>
  <r>
    <s v="Trials"/>
    <s v="Adaptive Skills: Following Two-Step Directions"/>
    <x v="5"/>
    <x v="3"/>
    <x v="2"/>
    <n v="0.85"/>
    <n v="5"/>
    <s v="Treatment"/>
    <s v="2: Follows verbal instruction sequence during play routines"/>
    <x v="0"/>
    <x v="6"/>
    <s v="Correct"/>
    <n v="0.71430000000000005"/>
    <n v="0.71430000000000005"/>
  </r>
  <r>
    <s v="Trials"/>
    <s v="Adaptive Skills: Following Two-Step Directions"/>
    <x v="6"/>
    <x v="4"/>
    <x v="3"/>
    <n v="0.85"/>
    <n v="5"/>
    <s v="Treatment"/>
    <s v="2: Follows verbal instruction sequence during play routines"/>
    <x v="0"/>
    <x v="0"/>
    <s v="Correct"/>
    <n v="0.85709999999999997"/>
    <n v="0.85709999999999997"/>
  </r>
  <r>
    <s v="Trials"/>
    <s v="Adaptive Skills: Following Two-Step Directions"/>
    <x v="6"/>
    <x v="4"/>
    <x v="3"/>
    <n v="0.85"/>
    <n v="5"/>
    <s v="Treatment"/>
    <s v="2: Follows verbal instruction sequence during play routines"/>
    <x v="0"/>
    <x v="1"/>
    <s v="Correct"/>
    <n v="0.85709999999999997"/>
    <n v="0.85709999999999997"/>
  </r>
  <r>
    <s v="Trials"/>
    <s v="Adaptive Skills: Following Two-Step Directions"/>
    <x v="6"/>
    <x v="4"/>
    <x v="3"/>
    <n v="0.85"/>
    <n v="5"/>
    <s v="Treatment"/>
    <s v="2: Follows verbal instruction sequence during play routines"/>
    <x v="0"/>
    <x v="2"/>
    <s v="Correct"/>
    <n v="0.85709999999999997"/>
    <n v="0.85709999999999997"/>
  </r>
  <r>
    <s v="Trials"/>
    <s v="Adaptive Skills: Following Two-Step Directions"/>
    <x v="6"/>
    <x v="4"/>
    <x v="3"/>
    <n v="0.85"/>
    <n v="5"/>
    <s v="Treatment"/>
    <s v="2: Follows verbal instruction sequence during play routines"/>
    <x v="0"/>
    <x v="3"/>
    <s v="Correct"/>
    <n v="0.85709999999999997"/>
    <n v="0.85709999999999997"/>
  </r>
  <r>
    <s v="Trials"/>
    <s v="Adaptive Skills: Following Two-Step Directions"/>
    <x v="6"/>
    <x v="4"/>
    <x v="3"/>
    <n v="0.85"/>
    <n v="5"/>
    <s v="Treatment"/>
    <s v="2: Follows verbal instruction sequence during play routines"/>
    <x v="0"/>
    <x v="4"/>
    <s v="Incorrect"/>
    <n v="0.85709999999999997"/>
    <n v="0.85709999999999997"/>
  </r>
  <r>
    <s v="Trials"/>
    <s v="Adaptive Skills: Following Two-Step Directions"/>
    <x v="6"/>
    <x v="4"/>
    <x v="3"/>
    <n v="0.85"/>
    <n v="5"/>
    <s v="Treatment"/>
    <s v="2: Follows verbal instruction sequence during play routines"/>
    <x v="0"/>
    <x v="5"/>
    <s v="Correct"/>
    <n v="0.85709999999999997"/>
    <n v="0.85709999999999997"/>
  </r>
  <r>
    <s v="Trials"/>
    <s v="Adaptive Skills: Following Two-Step Directions"/>
    <x v="6"/>
    <x v="4"/>
    <x v="3"/>
    <n v="0.85"/>
    <n v="5"/>
    <s v="Treatment"/>
    <s v="2: Follows verbal instruction sequence during play routines"/>
    <x v="0"/>
    <x v="6"/>
    <s v="Correct"/>
    <n v="0.85709999999999997"/>
    <n v="0.85709999999999997"/>
  </r>
  <r>
    <s v="Trials"/>
    <s v="Adaptive Skills: Following Two-Step Directions"/>
    <x v="7"/>
    <x v="2"/>
    <x v="2"/>
    <n v="0.85"/>
    <n v="5"/>
    <s v="Treatment"/>
    <s v="2: Follows verbal instruction sequence during play routines"/>
    <x v="0"/>
    <x v="0"/>
    <s v="Correct"/>
    <n v="0.58330000000000004"/>
    <n v="0.58330000000000004"/>
  </r>
  <r>
    <s v="Trials"/>
    <s v="Adaptive Skills: Following Two-Step Directions"/>
    <x v="7"/>
    <x v="2"/>
    <x v="2"/>
    <n v="0.85"/>
    <n v="5"/>
    <s v="Treatment"/>
    <s v="2: Follows verbal instruction sequence during play routines"/>
    <x v="0"/>
    <x v="1"/>
    <s v="Correct"/>
    <n v="0.58330000000000004"/>
    <n v="0.58330000000000004"/>
  </r>
  <r>
    <s v="Trials"/>
    <s v="Adaptive Skills: Following Two-Step Directions"/>
    <x v="7"/>
    <x v="2"/>
    <x v="2"/>
    <n v="0.85"/>
    <n v="5"/>
    <s v="Treatment"/>
    <s v="2: Follows verbal instruction sequence during play routines"/>
    <x v="0"/>
    <x v="2"/>
    <s v="Incorrect"/>
    <n v="0.58330000000000004"/>
    <n v="0.58330000000000004"/>
  </r>
  <r>
    <s v="Trials"/>
    <s v="Adaptive Skills: Following Two-Step Directions"/>
    <x v="7"/>
    <x v="2"/>
    <x v="2"/>
    <n v="0.85"/>
    <n v="5"/>
    <s v="Treatment"/>
    <s v="2: Follows verbal instruction sequence during play routines"/>
    <x v="0"/>
    <x v="3"/>
    <s v="Correct"/>
    <n v="0.58330000000000004"/>
    <n v="0.58330000000000004"/>
  </r>
  <r>
    <s v="Trials"/>
    <s v="Adaptive Skills: Following Two-Step Directions"/>
    <x v="7"/>
    <x v="2"/>
    <x v="2"/>
    <n v="0.85"/>
    <n v="5"/>
    <s v="Treatment"/>
    <s v="2: Follows verbal instruction sequence during play routines"/>
    <x v="0"/>
    <x v="4"/>
    <s v="Correct"/>
    <n v="0.58330000000000004"/>
    <n v="0.58330000000000004"/>
  </r>
  <r>
    <s v="Trials"/>
    <s v="Adaptive Skills: Following Two-Step Directions"/>
    <x v="7"/>
    <x v="2"/>
    <x v="2"/>
    <n v="0.85"/>
    <n v="5"/>
    <s v="Treatment"/>
    <s v="2: Follows verbal instruction sequence during play routines"/>
    <x v="0"/>
    <x v="5"/>
    <s v="Correct"/>
    <n v="0.58330000000000004"/>
    <n v="0.58330000000000004"/>
  </r>
  <r>
    <s v="Trials"/>
    <s v="Adaptive Skills: Following Two-Step Directions"/>
    <x v="7"/>
    <x v="2"/>
    <x v="2"/>
    <n v="0.85"/>
    <n v="5"/>
    <s v="Treatment"/>
    <s v="2: Follows verbal instruction sequence during play routines"/>
    <x v="0"/>
    <x v="6"/>
    <s v="Incorrect"/>
    <n v="0.58330000000000004"/>
    <n v="0.58330000000000004"/>
  </r>
  <r>
    <s v="Trials"/>
    <s v="Adaptive Skills: Following Two-Step Directions"/>
    <x v="7"/>
    <x v="2"/>
    <x v="2"/>
    <n v="0.85"/>
    <n v="5"/>
    <s v="Treatment"/>
    <s v="2: Follows verbal instruction sequence during play routines"/>
    <x v="0"/>
    <x v="7"/>
    <s v="Correct"/>
    <n v="0.58330000000000004"/>
    <n v="0.58330000000000004"/>
  </r>
  <r>
    <s v="Trials"/>
    <s v="Adaptive Skills: Following Two-Step Directions"/>
    <x v="7"/>
    <x v="2"/>
    <x v="2"/>
    <n v="0.85"/>
    <n v="5"/>
    <s v="Treatment"/>
    <s v="2: Follows verbal instruction sequence during play routines"/>
    <x v="0"/>
    <x v="8"/>
    <s v="Incorrect"/>
    <n v="0.58330000000000004"/>
    <n v="0.58330000000000004"/>
  </r>
  <r>
    <s v="Trials"/>
    <s v="Adaptive Skills: Following Two-Step Directions"/>
    <x v="7"/>
    <x v="2"/>
    <x v="2"/>
    <n v="0.85"/>
    <n v="5"/>
    <s v="Treatment"/>
    <s v="2: Follows verbal instruction sequence during play routines"/>
    <x v="0"/>
    <x v="9"/>
    <s v="Incorrect"/>
    <n v="0.58330000000000004"/>
    <n v="0.58330000000000004"/>
  </r>
  <r>
    <s v="Trials"/>
    <s v="Adaptive Skills: Following Two-Step Directions"/>
    <x v="7"/>
    <x v="2"/>
    <x v="2"/>
    <n v="0.85"/>
    <n v="5"/>
    <s v="Treatment"/>
    <s v="2: Follows verbal instruction sequence during play routines"/>
    <x v="0"/>
    <x v="10"/>
    <s v="Correct"/>
    <n v="0.58330000000000004"/>
    <n v="0.58330000000000004"/>
  </r>
  <r>
    <s v="Trials"/>
    <s v="Adaptive Skills: Following Two-Step Directions"/>
    <x v="7"/>
    <x v="2"/>
    <x v="2"/>
    <n v="0.85"/>
    <n v="5"/>
    <s v="Treatment"/>
    <s v="2: Follows verbal instruction sequence during play routines"/>
    <x v="0"/>
    <x v="11"/>
    <s v="Incorrect"/>
    <n v="0.58330000000000004"/>
    <n v="0.58330000000000004"/>
  </r>
  <r>
    <s v="Trials"/>
    <s v="Adaptive Skills: Following Two-Step Directions"/>
    <x v="8"/>
    <x v="2"/>
    <x v="1"/>
    <n v="0.85"/>
    <n v="5"/>
    <s v="Treatment"/>
    <s v="2: Follows verbal instruction sequence during play routines"/>
    <x v="0"/>
    <x v="0"/>
    <s v="Correct"/>
    <n v="0.5"/>
    <n v="0.5"/>
  </r>
  <r>
    <s v="Trials"/>
    <s v="Adaptive Skills: Following Two-Step Directions"/>
    <x v="8"/>
    <x v="2"/>
    <x v="1"/>
    <n v="0.85"/>
    <n v="5"/>
    <s v="Treatment"/>
    <s v="2: Follows verbal instruction sequence during play routines"/>
    <x v="0"/>
    <x v="1"/>
    <s v="Incorrect"/>
    <n v="0.5"/>
    <n v="0.5"/>
  </r>
  <r>
    <s v="Trials"/>
    <s v="Adaptive Skills: Following Two-Step Directions"/>
    <x v="8"/>
    <x v="2"/>
    <x v="1"/>
    <n v="0.85"/>
    <n v="5"/>
    <s v="Treatment"/>
    <s v="2: Follows verbal instruction sequence during play routines"/>
    <x v="0"/>
    <x v="2"/>
    <s v="Incorrect"/>
    <n v="0.5"/>
    <n v="0.5"/>
  </r>
  <r>
    <s v="Trials"/>
    <s v="Adaptive Skills: Following Two-Step Directions"/>
    <x v="8"/>
    <x v="2"/>
    <x v="1"/>
    <n v="0.85"/>
    <n v="5"/>
    <s v="Treatment"/>
    <s v="2: Follows verbal instruction sequence during play routines"/>
    <x v="0"/>
    <x v="3"/>
    <s v="Correct"/>
    <n v="0.5"/>
    <n v="0.5"/>
  </r>
  <r>
    <s v="Trials"/>
    <s v="Adaptive Skills: Following Two-Step Directions"/>
    <x v="8"/>
    <x v="2"/>
    <x v="1"/>
    <n v="0.85"/>
    <n v="5"/>
    <s v="Treatment"/>
    <s v="2: Follows verbal instruction sequence during play routines"/>
    <x v="0"/>
    <x v="4"/>
    <s v="Correct"/>
    <n v="0.5"/>
    <n v="0.5"/>
  </r>
  <r>
    <s v="Trials"/>
    <s v="Adaptive Skills: Following Two-Step Directions"/>
    <x v="8"/>
    <x v="2"/>
    <x v="1"/>
    <n v="0.85"/>
    <n v="5"/>
    <s v="Treatment"/>
    <s v="2: Follows verbal instruction sequence during play routines"/>
    <x v="0"/>
    <x v="5"/>
    <s v="Correct"/>
    <n v="0.5"/>
    <n v="0.5"/>
  </r>
  <r>
    <s v="Trials"/>
    <s v="Adaptive Skills: Following Two-Step Directions"/>
    <x v="8"/>
    <x v="2"/>
    <x v="1"/>
    <n v="0.85"/>
    <n v="5"/>
    <s v="Treatment"/>
    <s v="2: Follows verbal instruction sequence during play routines"/>
    <x v="0"/>
    <x v="6"/>
    <s v="Incorrect"/>
    <n v="0.5"/>
    <n v="0.5"/>
  </r>
  <r>
    <s v="Trials"/>
    <s v="Adaptive Skills: Following Two-Step Directions"/>
    <x v="8"/>
    <x v="2"/>
    <x v="1"/>
    <n v="0.85"/>
    <n v="5"/>
    <s v="Treatment"/>
    <s v="2: Follows verbal instruction sequence during play routines"/>
    <x v="0"/>
    <x v="7"/>
    <s v="Incorrect"/>
    <n v="0.5"/>
    <n v="0.5"/>
  </r>
  <r>
    <s v="Trials"/>
    <s v="Adaptive Skills: Following Two-Step Directions"/>
    <x v="9"/>
    <x v="2"/>
    <x v="1"/>
    <n v="0.85"/>
    <n v="5"/>
    <s v="Treatment"/>
    <s v="2: Follows verbal instruction sequence during play routines"/>
    <x v="0"/>
    <x v="0"/>
    <s v="Correct"/>
    <n v="0.625"/>
    <n v="0.625"/>
  </r>
  <r>
    <s v="Trials"/>
    <s v="Adaptive Skills: Following Two-Step Directions"/>
    <x v="9"/>
    <x v="2"/>
    <x v="1"/>
    <n v="0.85"/>
    <n v="5"/>
    <s v="Treatment"/>
    <s v="2: Follows verbal instruction sequence during play routines"/>
    <x v="0"/>
    <x v="1"/>
    <s v="Incorrect"/>
    <n v="0.625"/>
    <n v="0.625"/>
  </r>
  <r>
    <s v="Trials"/>
    <s v="Adaptive Skills: Following Two-Step Directions"/>
    <x v="9"/>
    <x v="2"/>
    <x v="1"/>
    <n v="0.85"/>
    <n v="5"/>
    <s v="Treatment"/>
    <s v="2: Follows verbal instruction sequence during play routines"/>
    <x v="0"/>
    <x v="2"/>
    <s v="Correct"/>
    <n v="0.625"/>
    <n v="0.625"/>
  </r>
  <r>
    <s v="Trials"/>
    <s v="Adaptive Skills: Following Two-Step Directions"/>
    <x v="9"/>
    <x v="2"/>
    <x v="1"/>
    <n v="0.85"/>
    <n v="5"/>
    <s v="Treatment"/>
    <s v="2: Follows verbal instruction sequence during play routines"/>
    <x v="0"/>
    <x v="3"/>
    <s v="Correct"/>
    <n v="0.625"/>
    <n v="0.625"/>
  </r>
  <r>
    <s v="Trials"/>
    <s v="Adaptive Skills: Following Two-Step Directions"/>
    <x v="9"/>
    <x v="2"/>
    <x v="1"/>
    <n v="0.85"/>
    <n v="5"/>
    <s v="Treatment"/>
    <s v="2: Follows verbal instruction sequence during play routines"/>
    <x v="0"/>
    <x v="4"/>
    <s v="Correct"/>
    <n v="0.625"/>
    <n v="0.625"/>
  </r>
  <r>
    <s v="Trials"/>
    <s v="Adaptive Skills: Following Two-Step Directions"/>
    <x v="9"/>
    <x v="2"/>
    <x v="1"/>
    <n v="0.85"/>
    <n v="5"/>
    <s v="Treatment"/>
    <s v="2: Follows verbal instruction sequence during play routines"/>
    <x v="0"/>
    <x v="5"/>
    <s v="Correct"/>
    <n v="0.625"/>
    <n v="0.625"/>
  </r>
  <r>
    <s v="Trials"/>
    <s v="Adaptive Skills: Following Two-Step Directions"/>
    <x v="9"/>
    <x v="2"/>
    <x v="1"/>
    <n v="0.85"/>
    <n v="5"/>
    <s v="Treatment"/>
    <s v="2: Follows verbal instruction sequence during play routines"/>
    <x v="0"/>
    <x v="6"/>
    <s v="Incorrect"/>
    <n v="0.625"/>
    <n v="0.625"/>
  </r>
  <r>
    <s v="Trials"/>
    <s v="Adaptive Skills: Following Two-Step Directions"/>
    <x v="9"/>
    <x v="2"/>
    <x v="1"/>
    <n v="0.85"/>
    <n v="5"/>
    <s v="Treatment"/>
    <s v="2: Follows verbal instruction sequence during play routines"/>
    <x v="0"/>
    <x v="7"/>
    <s v="Incorrect"/>
    <n v="0.625"/>
    <n v="0.625"/>
  </r>
  <r>
    <s v="Trials"/>
    <s v="Adaptive Skills: Following Two-Step Directions"/>
    <x v="10"/>
    <x v="3"/>
    <x v="1"/>
    <n v="0.85"/>
    <n v="5"/>
    <s v="Treatment"/>
    <s v="2: Follows verbal instruction sequence during play routines"/>
    <x v="0"/>
    <x v="0"/>
    <s v="Incorrect"/>
    <n v="0.57140000000000002"/>
    <n v="0.57140000000000002"/>
  </r>
  <r>
    <s v="Trials"/>
    <s v="Adaptive Skills: Following Two-Step Directions"/>
    <x v="10"/>
    <x v="3"/>
    <x v="1"/>
    <n v="0.85"/>
    <n v="5"/>
    <s v="Treatment"/>
    <s v="2: Follows verbal instruction sequence during play routines"/>
    <x v="0"/>
    <x v="1"/>
    <s v="Correct"/>
    <n v="0.57140000000000002"/>
    <n v="0.57140000000000002"/>
  </r>
  <r>
    <s v="Trials"/>
    <s v="Adaptive Skills: Following Two-Step Directions"/>
    <x v="10"/>
    <x v="3"/>
    <x v="1"/>
    <n v="0.85"/>
    <n v="5"/>
    <s v="Treatment"/>
    <s v="2: Follows verbal instruction sequence during play routines"/>
    <x v="0"/>
    <x v="2"/>
    <s v="Correct"/>
    <n v="0.57140000000000002"/>
    <n v="0.57140000000000002"/>
  </r>
  <r>
    <s v="Trials"/>
    <s v="Adaptive Skills: Following Two-Step Directions"/>
    <x v="10"/>
    <x v="3"/>
    <x v="1"/>
    <n v="0.85"/>
    <n v="5"/>
    <s v="Treatment"/>
    <s v="2: Follows verbal instruction sequence during play routines"/>
    <x v="0"/>
    <x v="3"/>
    <s v="Correct"/>
    <n v="0.57140000000000002"/>
    <n v="0.57140000000000002"/>
  </r>
  <r>
    <s v="Trials"/>
    <s v="Adaptive Skills: Following Two-Step Directions"/>
    <x v="10"/>
    <x v="3"/>
    <x v="1"/>
    <n v="0.85"/>
    <n v="5"/>
    <s v="Treatment"/>
    <s v="2: Follows verbal instruction sequence during play routines"/>
    <x v="0"/>
    <x v="4"/>
    <s v="Incorrect"/>
    <n v="0.57140000000000002"/>
    <n v="0.57140000000000002"/>
  </r>
  <r>
    <s v="Trials"/>
    <s v="Adaptive Skills: Following Two-Step Directions"/>
    <x v="10"/>
    <x v="3"/>
    <x v="1"/>
    <n v="0.85"/>
    <n v="5"/>
    <s v="Treatment"/>
    <s v="2: Follows verbal instruction sequence during play routines"/>
    <x v="0"/>
    <x v="5"/>
    <s v="Incorrect"/>
    <n v="0.57140000000000002"/>
    <n v="0.57140000000000002"/>
  </r>
  <r>
    <s v="Trials"/>
    <s v="Adaptive Skills: Following Two-Step Directions"/>
    <x v="10"/>
    <x v="3"/>
    <x v="1"/>
    <n v="0.85"/>
    <n v="5"/>
    <s v="Treatment"/>
    <s v="2: Follows verbal instruction sequence during play routines"/>
    <x v="0"/>
    <x v="6"/>
    <s v="Correct"/>
    <n v="0.57140000000000002"/>
    <n v="0.57140000000000002"/>
  </r>
  <r>
    <s v="Trials"/>
    <s v="Adaptive Skills: Following Two-Step Directions"/>
    <x v="11"/>
    <x v="0"/>
    <x v="3"/>
    <n v="0.85"/>
    <n v="5"/>
    <s v="Treatment"/>
    <s v="2: Follows verbal instruction sequence during play routines"/>
    <x v="0"/>
    <x v="0"/>
    <s v="Correct"/>
    <n v="0.9"/>
    <n v="0.9"/>
  </r>
  <r>
    <s v="Trials"/>
    <s v="Adaptive Skills: Following Two-Step Directions"/>
    <x v="11"/>
    <x v="0"/>
    <x v="3"/>
    <n v="0.85"/>
    <n v="5"/>
    <s v="Treatment"/>
    <s v="2: Follows verbal instruction sequence during play routines"/>
    <x v="0"/>
    <x v="1"/>
    <s v="Correct"/>
    <n v="0.9"/>
    <n v="0.9"/>
  </r>
  <r>
    <s v="Trials"/>
    <s v="Adaptive Skills: Following Two-Step Directions"/>
    <x v="11"/>
    <x v="0"/>
    <x v="3"/>
    <n v="0.85"/>
    <n v="5"/>
    <s v="Treatment"/>
    <s v="2: Follows verbal instruction sequence during play routines"/>
    <x v="0"/>
    <x v="2"/>
    <s v="Correct"/>
    <n v="0.9"/>
    <n v="0.9"/>
  </r>
  <r>
    <s v="Trials"/>
    <s v="Adaptive Skills: Following Two-Step Directions"/>
    <x v="11"/>
    <x v="0"/>
    <x v="3"/>
    <n v="0.85"/>
    <n v="5"/>
    <s v="Treatment"/>
    <s v="2: Follows verbal instruction sequence during play routines"/>
    <x v="0"/>
    <x v="3"/>
    <s v="Correct"/>
    <n v="0.9"/>
    <n v="0.9"/>
  </r>
  <r>
    <s v="Trials"/>
    <s v="Adaptive Skills: Following Two-Step Directions"/>
    <x v="11"/>
    <x v="0"/>
    <x v="3"/>
    <n v="0.85"/>
    <n v="5"/>
    <s v="Treatment"/>
    <s v="2: Follows verbal instruction sequence during play routines"/>
    <x v="0"/>
    <x v="4"/>
    <s v="Correct"/>
    <n v="0.9"/>
    <n v="0.9"/>
  </r>
  <r>
    <s v="Trials"/>
    <s v="Adaptive Skills: Following Two-Step Directions"/>
    <x v="11"/>
    <x v="0"/>
    <x v="3"/>
    <n v="0.85"/>
    <n v="5"/>
    <s v="Treatment"/>
    <s v="2: Follows verbal instruction sequence during play routines"/>
    <x v="0"/>
    <x v="5"/>
    <s v="Correct"/>
    <n v="0.9"/>
    <n v="0.9"/>
  </r>
  <r>
    <s v="Trials"/>
    <s v="Adaptive Skills: Following Two-Step Directions"/>
    <x v="11"/>
    <x v="0"/>
    <x v="3"/>
    <n v="0.85"/>
    <n v="5"/>
    <s v="Treatment"/>
    <s v="2: Follows verbal instruction sequence during play routines"/>
    <x v="0"/>
    <x v="6"/>
    <s v="Incorrect"/>
    <n v="0.9"/>
    <n v="0.9"/>
  </r>
  <r>
    <s v="Trials"/>
    <s v="Adaptive Skills: Following Two-Step Directions"/>
    <x v="11"/>
    <x v="0"/>
    <x v="3"/>
    <n v="0.85"/>
    <n v="5"/>
    <s v="Treatment"/>
    <s v="2: Follows verbal instruction sequence during play routines"/>
    <x v="0"/>
    <x v="7"/>
    <s v="Correct"/>
    <n v="0.9"/>
    <n v="0.9"/>
  </r>
  <r>
    <s v="Trials"/>
    <s v="Adaptive Skills: Following Two-Step Directions"/>
    <x v="11"/>
    <x v="0"/>
    <x v="3"/>
    <n v="0.85"/>
    <n v="5"/>
    <s v="Treatment"/>
    <s v="2: Follows verbal instruction sequence during play routines"/>
    <x v="0"/>
    <x v="8"/>
    <s v="Correct"/>
    <n v="0.9"/>
    <n v="0.9"/>
  </r>
  <r>
    <s v="Trials"/>
    <s v="Adaptive Skills: Following Two-Step Directions"/>
    <x v="11"/>
    <x v="0"/>
    <x v="3"/>
    <n v="0.85"/>
    <n v="5"/>
    <s v="Treatment"/>
    <s v="2: Follows verbal instruction sequence during play routines"/>
    <x v="0"/>
    <x v="9"/>
    <s v="Correct"/>
    <n v="0.9"/>
    <n v="0.9"/>
  </r>
  <r>
    <s v="Trials"/>
    <s v="Adaptive Skills: Following Two-Step Directions"/>
    <x v="12"/>
    <x v="2"/>
    <x v="0"/>
    <n v="0.85"/>
    <n v="5"/>
    <s v="Treatment"/>
    <s v="2: Follows verbal instruction sequence during play routines"/>
    <x v="0"/>
    <x v="0"/>
    <s v="Correct"/>
    <n v="1"/>
    <n v="1"/>
  </r>
  <r>
    <s v="Trials"/>
    <s v="Adaptive Skills: Following Two-Step Directions"/>
    <x v="12"/>
    <x v="2"/>
    <x v="0"/>
    <n v="0.85"/>
    <n v="5"/>
    <s v="Treatment"/>
    <s v="2: Follows verbal instruction sequence during play routines"/>
    <x v="0"/>
    <x v="1"/>
    <s v="Correct"/>
    <n v="1"/>
    <n v="1"/>
  </r>
  <r>
    <s v="Trials"/>
    <s v="Adaptive Skills: Following Two-Step Directions"/>
    <x v="12"/>
    <x v="2"/>
    <x v="0"/>
    <n v="0.85"/>
    <n v="5"/>
    <s v="Treatment"/>
    <s v="2: Follows verbal instruction sequence during play routines"/>
    <x v="0"/>
    <x v="2"/>
    <s v="Correct"/>
    <n v="1"/>
    <n v="1"/>
  </r>
  <r>
    <s v="Trials"/>
    <s v="Adaptive Skills: Following Two-Step Directions"/>
    <x v="12"/>
    <x v="2"/>
    <x v="0"/>
    <n v="0.85"/>
    <n v="5"/>
    <s v="Treatment"/>
    <s v="2: Follows verbal instruction sequence during play routines"/>
    <x v="0"/>
    <x v="3"/>
    <s v="Correct"/>
    <n v="1"/>
    <n v="1"/>
  </r>
  <r>
    <s v="Trials"/>
    <s v="Adaptive Skills: Following Two-Step Directions"/>
    <x v="12"/>
    <x v="2"/>
    <x v="0"/>
    <n v="0.85"/>
    <n v="5"/>
    <s v="Treatment"/>
    <s v="2: Follows verbal instruction sequence during play routines"/>
    <x v="0"/>
    <x v="4"/>
    <s v="Correct"/>
    <n v="1"/>
    <n v="1"/>
  </r>
  <r>
    <s v="Trials"/>
    <s v="Adaptive Skills: Following Two-Step Directions"/>
    <x v="12"/>
    <x v="2"/>
    <x v="0"/>
    <n v="0.85"/>
    <n v="5"/>
    <s v="Treatment"/>
    <s v="2: Follows verbal instruction sequence during play routines"/>
    <x v="0"/>
    <x v="5"/>
    <s v="Correct"/>
    <n v="1"/>
    <n v="1"/>
  </r>
  <r>
    <s v="Trials"/>
    <s v="Adaptive Skills: Following Two-Step Directions"/>
    <x v="13"/>
    <x v="2"/>
    <x v="0"/>
    <n v="0.85"/>
    <n v="5"/>
    <s v="Treatment"/>
    <s v="2: Follows verbal instruction sequence during play routines"/>
    <x v="0"/>
    <x v="0"/>
    <s v="Correct"/>
    <n v="0.7"/>
    <n v="0.7"/>
  </r>
  <r>
    <s v="Trials"/>
    <s v="Adaptive Skills: Following Two-Step Directions"/>
    <x v="13"/>
    <x v="2"/>
    <x v="0"/>
    <n v="0.85"/>
    <n v="5"/>
    <s v="Treatment"/>
    <s v="2: Follows verbal instruction sequence during play routines"/>
    <x v="0"/>
    <x v="1"/>
    <s v="Correct"/>
    <n v="0.7"/>
    <n v="0.7"/>
  </r>
  <r>
    <s v="Trials"/>
    <s v="Adaptive Skills: Following Two-Step Directions"/>
    <x v="13"/>
    <x v="2"/>
    <x v="0"/>
    <n v="0.85"/>
    <n v="5"/>
    <s v="Treatment"/>
    <s v="2: Follows verbal instruction sequence during play routines"/>
    <x v="0"/>
    <x v="2"/>
    <s v="Correct"/>
    <n v="0.7"/>
    <n v="0.7"/>
  </r>
  <r>
    <s v="Trials"/>
    <s v="Adaptive Skills: Following Two-Step Directions"/>
    <x v="13"/>
    <x v="2"/>
    <x v="0"/>
    <n v="0.85"/>
    <n v="5"/>
    <s v="Treatment"/>
    <s v="2: Follows verbal instruction sequence during play routines"/>
    <x v="0"/>
    <x v="3"/>
    <s v="Incorrect"/>
    <n v="0.7"/>
    <n v="0.7"/>
  </r>
  <r>
    <s v="Trials"/>
    <s v="Adaptive Skills: Following Two-Step Directions"/>
    <x v="13"/>
    <x v="2"/>
    <x v="0"/>
    <n v="0.85"/>
    <n v="5"/>
    <s v="Treatment"/>
    <s v="2: Follows verbal instruction sequence during play routines"/>
    <x v="0"/>
    <x v="4"/>
    <s v="Correct"/>
    <n v="0.7"/>
    <n v="0.7"/>
  </r>
  <r>
    <s v="Trials"/>
    <s v="Adaptive Skills: Following Two-Step Directions"/>
    <x v="13"/>
    <x v="2"/>
    <x v="0"/>
    <n v="0.85"/>
    <n v="5"/>
    <s v="Treatment"/>
    <s v="2: Follows verbal instruction sequence during play routines"/>
    <x v="0"/>
    <x v="5"/>
    <s v="Correct"/>
    <n v="0.7"/>
    <n v="0.7"/>
  </r>
  <r>
    <s v="Trials"/>
    <s v="Adaptive Skills: Following Two-Step Directions"/>
    <x v="13"/>
    <x v="2"/>
    <x v="0"/>
    <n v="0.85"/>
    <n v="5"/>
    <s v="Treatment"/>
    <s v="2: Follows verbal instruction sequence during play routines"/>
    <x v="0"/>
    <x v="6"/>
    <s v="Incorrect"/>
    <n v="0.7"/>
    <n v="0.7"/>
  </r>
  <r>
    <s v="Trials"/>
    <s v="Adaptive Skills: Following Two-Step Directions"/>
    <x v="13"/>
    <x v="2"/>
    <x v="0"/>
    <n v="0.85"/>
    <n v="5"/>
    <s v="Treatment"/>
    <s v="2: Follows verbal instruction sequence during play routines"/>
    <x v="0"/>
    <x v="7"/>
    <s v="Incorrect"/>
    <n v="0.7"/>
    <n v="0.7"/>
  </r>
  <r>
    <s v="Trials"/>
    <s v="Adaptive Skills: Following Two-Step Directions"/>
    <x v="13"/>
    <x v="2"/>
    <x v="0"/>
    <n v="0.85"/>
    <n v="5"/>
    <s v="Treatment"/>
    <s v="2: Follows verbal instruction sequence during play routines"/>
    <x v="0"/>
    <x v="8"/>
    <s v="Correct"/>
    <n v="0.7"/>
    <n v="0.7"/>
  </r>
  <r>
    <s v="Trials"/>
    <s v="Adaptive Skills: Following Two-Step Directions"/>
    <x v="13"/>
    <x v="2"/>
    <x v="0"/>
    <n v="0.85"/>
    <n v="5"/>
    <s v="Treatment"/>
    <s v="2: Follows verbal instruction sequence during play routines"/>
    <x v="0"/>
    <x v="9"/>
    <s v="Correct"/>
    <n v="0.7"/>
    <n v="0.7"/>
  </r>
  <r>
    <s v="Trials"/>
    <s v="Adaptive Skills: Following Two-Step Directions"/>
    <x v="14"/>
    <x v="4"/>
    <x v="3"/>
    <n v="0.85"/>
    <n v="5"/>
    <s v="Treatment"/>
    <s v="2: Follows verbal instruction sequence during play routines"/>
    <x v="0"/>
    <x v="0"/>
    <s v="Correct"/>
    <n v="0.77780000000000005"/>
    <n v="0.77780000000000005"/>
  </r>
  <r>
    <s v="Trials"/>
    <s v="Adaptive Skills: Following Two-Step Directions"/>
    <x v="14"/>
    <x v="4"/>
    <x v="3"/>
    <n v="0.85"/>
    <n v="5"/>
    <s v="Treatment"/>
    <s v="2: Follows verbal instruction sequence during play routines"/>
    <x v="0"/>
    <x v="1"/>
    <s v="Correct"/>
    <n v="0.77780000000000005"/>
    <n v="0.77780000000000005"/>
  </r>
  <r>
    <s v="Trials"/>
    <s v="Adaptive Skills: Following Two-Step Directions"/>
    <x v="14"/>
    <x v="4"/>
    <x v="3"/>
    <n v="0.85"/>
    <n v="5"/>
    <s v="Treatment"/>
    <s v="2: Follows verbal instruction sequence during play routines"/>
    <x v="0"/>
    <x v="2"/>
    <s v="Incorrect"/>
    <n v="0.77780000000000005"/>
    <n v="0.77780000000000005"/>
  </r>
  <r>
    <s v="Trials"/>
    <s v="Adaptive Skills: Following Two-Step Directions"/>
    <x v="14"/>
    <x v="4"/>
    <x v="3"/>
    <n v="0.85"/>
    <n v="5"/>
    <s v="Treatment"/>
    <s v="2: Follows verbal instruction sequence during play routines"/>
    <x v="0"/>
    <x v="3"/>
    <s v="Correct"/>
    <n v="0.77780000000000005"/>
    <n v="0.77780000000000005"/>
  </r>
  <r>
    <s v="Trials"/>
    <s v="Adaptive Skills: Following Two-Step Directions"/>
    <x v="14"/>
    <x v="4"/>
    <x v="3"/>
    <n v="0.85"/>
    <n v="5"/>
    <s v="Treatment"/>
    <s v="2: Follows verbal instruction sequence during play routines"/>
    <x v="0"/>
    <x v="4"/>
    <s v="Correct"/>
    <n v="0.77780000000000005"/>
    <n v="0.77780000000000005"/>
  </r>
  <r>
    <s v="Trials"/>
    <s v="Adaptive Skills: Following Two-Step Directions"/>
    <x v="14"/>
    <x v="4"/>
    <x v="3"/>
    <n v="0.85"/>
    <n v="5"/>
    <s v="Treatment"/>
    <s v="2: Follows verbal instruction sequence during play routines"/>
    <x v="0"/>
    <x v="5"/>
    <s v="Correct"/>
    <n v="0.77780000000000005"/>
    <n v="0.77780000000000005"/>
  </r>
  <r>
    <s v="Trials"/>
    <s v="Adaptive Skills: Following Two-Step Directions"/>
    <x v="14"/>
    <x v="4"/>
    <x v="3"/>
    <n v="0.85"/>
    <n v="5"/>
    <s v="Treatment"/>
    <s v="2: Follows verbal instruction sequence during play routines"/>
    <x v="0"/>
    <x v="6"/>
    <s v="Incorrect"/>
    <n v="0.77780000000000005"/>
    <n v="0.77780000000000005"/>
  </r>
  <r>
    <s v="Trials"/>
    <s v="Adaptive Skills: Following Two-Step Directions"/>
    <x v="14"/>
    <x v="4"/>
    <x v="3"/>
    <n v="0.85"/>
    <n v="5"/>
    <s v="Treatment"/>
    <s v="2: Follows verbal instruction sequence during play routines"/>
    <x v="0"/>
    <x v="7"/>
    <s v="Correct"/>
    <n v="0.77780000000000005"/>
    <n v="0.77780000000000005"/>
  </r>
  <r>
    <s v="Trials"/>
    <s v="Adaptive Skills: Following Two-Step Directions"/>
    <x v="14"/>
    <x v="4"/>
    <x v="3"/>
    <n v="0.85"/>
    <n v="5"/>
    <s v="Treatment"/>
    <s v="2: Follows verbal instruction sequence during play routines"/>
    <x v="0"/>
    <x v="8"/>
    <s v="Correct"/>
    <n v="0.77780000000000005"/>
    <n v="0.77780000000000005"/>
  </r>
  <r>
    <s v="Trials"/>
    <s v="Adaptive Skills: Following Two-Step Directions"/>
    <x v="15"/>
    <x v="4"/>
    <x v="3"/>
    <n v="0.85"/>
    <n v="5"/>
    <s v="Treatment"/>
    <s v="2: Follows verbal instruction sequence during play routines"/>
    <x v="0"/>
    <x v="0"/>
    <s v="Correct"/>
    <n v="0.57140000000000002"/>
    <n v="0.57140000000000002"/>
  </r>
  <r>
    <s v="Trials"/>
    <s v="Adaptive Skills: Following Two-Step Directions"/>
    <x v="15"/>
    <x v="4"/>
    <x v="3"/>
    <n v="0.85"/>
    <n v="5"/>
    <s v="Treatment"/>
    <s v="2: Follows verbal instruction sequence during play routines"/>
    <x v="0"/>
    <x v="1"/>
    <s v="Incorrect"/>
    <n v="0.57140000000000002"/>
    <n v="0.57140000000000002"/>
  </r>
  <r>
    <s v="Trials"/>
    <s v="Adaptive Skills: Following Two-Step Directions"/>
    <x v="15"/>
    <x v="4"/>
    <x v="3"/>
    <n v="0.85"/>
    <n v="5"/>
    <s v="Treatment"/>
    <s v="2: Follows verbal instruction sequence during play routines"/>
    <x v="0"/>
    <x v="2"/>
    <s v="Correct"/>
    <n v="0.57140000000000002"/>
    <n v="0.57140000000000002"/>
  </r>
  <r>
    <s v="Trials"/>
    <s v="Adaptive Skills: Following Two-Step Directions"/>
    <x v="15"/>
    <x v="4"/>
    <x v="3"/>
    <n v="0.85"/>
    <n v="5"/>
    <s v="Treatment"/>
    <s v="2: Follows verbal instruction sequence during play routines"/>
    <x v="0"/>
    <x v="3"/>
    <s v="Incorrect"/>
    <n v="0.57140000000000002"/>
    <n v="0.57140000000000002"/>
  </r>
  <r>
    <s v="Trials"/>
    <s v="Adaptive Skills: Following Two-Step Directions"/>
    <x v="15"/>
    <x v="4"/>
    <x v="3"/>
    <n v="0.85"/>
    <n v="5"/>
    <s v="Treatment"/>
    <s v="2: Follows verbal instruction sequence during play routines"/>
    <x v="0"/>
    <x v="4"/>
    <s v="Correct"/>
    <n v="0.57140000000000002"/>
    <n v="0.57140000000000002"/>
  </r>
  <r>
    <s v="Trials"/>
    <s v="Adaptive Skills: Following Two-Step Directions"/>
    <x v="15"/>
    <x v="4"/>
    <x v="3"/>
    <n v="0.85"/>
    <n v="5"/>
    <s v="Treatment"/>
    <s v="2: Follows verbal instruction sequence during play routines"/>
    <x v="0"/>
    <x v="5"/>
    <s v="Correct"/>
    <n v="0.57140000000000002"/>
    <n v="0.57140000000000002"/>
  </r>
  <r>
    <s v="Trials"/>
    <s v="Adaptive Skills: Following Two-Step Directions"/>
    <x v="15"/>
    <x v="4"/>
    <x v="3"/>
    <n v="0.85"/>
    <n v="5"/>
    <s v="Treatment"/>
    <s v="2: Follows verbal instruction sequence during play routines"/>
    <x v="0"/>
    <x v="6"/>
    <s v="Incorrect"/>
    <n v="0.57140000000000002"/>
    <n v="0.57140000000000002"/>
  </r>
  <r>
    <s v="Trials"/>
    <s v="Adaptive Skills: Following Two-Step Directions"/>
    <x v="16"/>
    <x v="2"/>
    <x v="0"/>
    <n v="0.85"/>
    <n v="5"/>
    <s v="Treatment"/>
    <s v="2: Follows verbal instruction sequence during play routines"/>
    <x v="0"/>
    <x v="0"/>
    <s v="Correct"/>
    <n v="0.57140000000000002"/>
    <n v="0.57140000000000002"/>
  </r>
  <r>
    <s v="Trials"/>
    <s v="Adaptive Skills: Following Two-Step Directions"/>
    <x v="16"/>
    <x v="2"/>
    <x v="0"/>
    <n v="0.85"/>
    <n v="5"/>
    <s v="Treatment"/>
    <s v="2: Follows verbal instruction sequence during play routines"/>
    <x v="0"/>
    <x v="1"/>
    <s v="Incorrect"/>
    <n v="0.57140000000000002"/>
    <n v="0.57140000000000002"/>
  </r>
  <r>
    <s v="Trials"/>
    <s v="Adaptive Skills: Following Two-Step Directions"/>
    <x v="16"/>
    <x v="2"/>
    <x v="0"/>
    <n v="0.85"/>
    <n v="5"/>
    <s v="Treatment"/>
    <s v="2: Follows verbal instruction sequence during play routines"/>
    <x v="0"/>
    <x v="2"/>
    <s v="Incorrect"/>
    <n v="0.57140000000000002"/>
    <n v="0.57140000000000002"/>
  </r>
  <r>
    <s v="Trials"/>
    <s v="Adaptive Skills: Following Two-Step Directions"/>
    <x v="16"/>
    <x v="2"/>
    <x v="0"/>
    <n v="0.85"/>
    <n v="5"/>
    <s v="Treatment"/>
    <s v="2: Follows verbal instruction sequence during play routines"/>
    <x v="0"/>
    <x v="3"/>
    <s v="Correct"/>
    <n v="0.57140000000000002"/>
    <n v="0.57140000000000002"/>
  </r>
  <r>
    <s v="Trials"/>
    <s v="Adaptive Skills: Following Two-Step Directions"/>
    <x v="16"/>
    <x v="2"/>
    <x v="0"/>
    <n v="0.85"/>
    <n v="5"/>
    <s v="Treatment"/>
    <s v="2: Follows verbal instruction sequence during play routines"/>
    <x v="0"/>
    <x v="4"/>
    <s v="Correct"/>
    <n v="0.57140000000000002"/>
    <n v="0.57140000000000002"/>
  </r>
  <r>
    <s v="Trials"/>
    <s v="Adaptive Skills: Following Two-Step Directions"/>
    <x v="16"/>
    <x v="2"/>
    <x v="0"/>
    <n v="0.85"/>
    <n v="5"/>
    <s v="Treatment"/>
    <s v="2: Follows verbal instruction sequence during play routines"/>
    <x v="0"/>
    <x v="5"/>
    <s v="Correct"/>
    <n v="0.57140000000000002"/>
    <n v="0.57140000000000002"/>
  </r>
  <r>
    <s v="Trials"/>
    <s v="Adaptive Skills: Following Two-Step Directions"/>
    <x v="16"/>
    <x v="2"/>
    <x v="0"/>
    <n v="0.85"/>
    <n v="5"/>
    <s v="Treatment"/>
    <s v="2: Follows verbal instruction sequence during play routines"/>
    <x v="0"/>
    <x v="6"/>
    <s v="Incorrect"/>
    <n v="0.57140000000000002"/>
    <n v="0.57140000000000002"/>
  </r>
  <r>
    <s v="Trials"/>
    <s v="Adaptive Skills: Following Two-Step Directions"/>
    <x v="17"/>
    <x v="4"/>
    <x v="3"/>
    <n v="0.85"/>
    <n v="5"/>
    <s v="Treatment"/>
    <s v="2: Follows verbal instruction sequence during play routines"/>
    <x v="0"/>
    <x v="0"/>
    <s v="Incorrect"/>
    <n v="0.81820000000000004"/>
    <n v="0.81820000000000004"/>
  </r>
  <r>
    <s v="Trials"/>
    <s v="Adaptive Skills: Following Two-Step Directions"/>
    <x v="17"/>
    <x v="4"/>
    <x v="3"/>
    <n v="0.85"/>
    <n v="5"/>
    <s v="Treatment"/>
    <s v="2: Follows verbal instruction sequence during play routines"/>
    <x v="0"/>
    <x v="1"/>
    <s v="Correct"/>
    <n v="0.81820000000000004"/>
    <n v="0.81820000000000004"/>
  </r>
  <r>
    <s v="Trials"/>
    <s v="Adaptive Skills: Following Two-Step Directions"/>
    <x v="17"/>
    <x v="4"/>
    <x v="3"/>
    <n v="0.85"/>
    <n v="5"/>
    <s v="Treatment"/>
    <s v="2: Follows verbal instruction sequence during play routines"/>
    <x v="0"/>
    <x v="2"/>
    <s v="Correct"/>
    <n v="0.81820000000000004"/>
    <n v="0.81820000000000004"/>
  </r>
  <r>
    <s v="Trials"/>
    <s v="Adaptive Skills: Following Two-Step Directions"/>
    <x v="17"/>
    <x v="4"/>
    <x v="3"/>
    <n v="0.85"/>
    <n v="5"/>
    <s v="Treatment"/>
    <s v="2: Follows verbal instruction sequence during play routines"/>
    <x v="0"/>
    <x v="3"/>
    <s v="Correct"/>
    <n v="0.81820000000000004"/>
    <n v="0.81820000000000004"/>
  </r>
  <r>
    <s v="Trials"/>
    <s v="Adaptive Skills: Following Two-Step Directions"/>
    <x v="17"/>
    <x v="4"/>
    <x v="3"/>
    <n v="0.85"/>
    <n v="5"/>
    <s v="Treatment"/>
    <s v="2: Follows verbal instruction sequence during play routines"/>
    <x v="0"/>
    <x v="4"/>
    <s v="Correct"/>
    <n v="0.81820000000000004"/>
    <n v="0.81820000000000004"/>
  </r>
  <r>
    <s v="Trials"/>
    <s v="Adaptive Skills: Following Two-Step Directions"/>
    <x v="17"/>
    <x v="4"/>
    <x v="3"/>
    <n v="0.85"/>
    <n v="5"/>
    <s v="Treatment"/>
    <s v="2: Follows verbal instruction sequence during play routines"/>
    <x v="0"/>
    <x v="5"/>
    <s v="Incorrect"/>
    <n v="0.81820000000000004"/>
    <n v="0.81820000000000004"/>
  </r>
  <r>
    <s v="Trials"/>
    <s v="Adaptive Skills: Following Two-Step Directions"/>
    <x v="17"/>
    <x v="4"/>
    <x v="3"/>
    <n v="0.85"/>
    <n v="5"/>
    <s v="Treatment"/>
    <s v="2: Follows verbal instruction sequence during play routines"/>
    <x v="0"/>
    <x v="6"/>
    <s v="Correct"/>
    <n v="0.81820000000000004"/>
    <n v="0.81820000000000004"/>
  </r>
  <r>
    <s v="Trials"/>
    <s v="Adaptive Skills: Following Two-Step Directions"/>
    <x v="17"/>
    <x v="4"/>
    <x v="3"/>
    <n v="0.85"/>
    <n v="5"/>
    <s v="Treatment"/>
    <s v="2: Follows verbal instruction sequence during play routines"/>
    <x v="0"/>
    <x v="7"/>
    <s v="Correct"/>
    <n v="0.81820000000000004"/>
    <n v="0.81820000000000004"/>
  </r>
  <r>
    <s v="Trials"/>
    <s v="Adaptive Skills: Following Two-Step Directions"/>
    <x v="17"/>
    <x v="4"/>
    <x v="3"/>
    <n v="0.85"/>
    <n v="5"/>
    <s v="Treatment"/>
    <s v="2: Follows verbal instruction sequence during play routines"/>
    <x v="0"/>
    <x v="8"/>
    <s v="Correct"/>
    <n v="0.81820000000000004"/>
    <n v="0.81820000000000004"/>
  </r>
  <r>
    <s v="Trials"/>
    <s v="Adaptive Skills: Following Two-Step Directions"/>
    <x v="17"/>
    <x v="4"/>
    <x v="3"/>
    <n v="0.85"/>
    <n v="5"/>
    <s v="Treatment"/>
    <s v="2: Follows verbal instruction sequence during play routines"/>
    <x v="0"/>
    <x v="9"/>
    <s v="Correct"/>
    <n v="0.81820000000000004"/>
    <n v="0.81820000000000004"/>
  </r>
  <r>
    <s v="Trials"/>
    <s v="Adaptive Skills: Following Two-Step Directions"/>
    <x v="17"/>
    <x v="4"/>
    <x v="3"/>
    <n v="0.85"/>
    <n v="5"/>
    <s v="Treatment"/>
    <s v="2: Follows verbal instruction sequence during play routines"/>
    <x v="0"/>
    <x v="10"/>
    <s v="Correct"/>
    <n v="0.81820000000000004"/>
    <n v="0.818200000000000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26-02-03T00:00:00"/>
    <n v="0.71429999999999993"/>
    <m/>
    <x v="0"/>
  </r>
  <r>
    <d v="2026-02-04T00:00:00"/>
    <n v="0.55559999999999998"/>
    <n v="1"/>
    <x v="1"/>
  </r>
  <r>
    <d v="2026-02-05T00:00:00"/>
    <n v="0.875"/>
    <n v="1"/>
    <x v="1"/>
  </r>
  <r>
    <d v="2026-02-08T00:00:00"/>
    <n v="0.33329999999999999"/>
    <n v="3"/>
    <x v="2"/>
  </r>
  <r>
    <d v="2026-02-09T00:00:00"/>
    <n v="0.5"/>
    <n v="1"/>
    <x v="1"/>
  </r>
  <r>
    <d v="2026-02-12T00:00:00"/>
    <n v="0.71429999999999993"/>
    <n v="3"/>
    <x v="2"/>
  </r>
  <r>
    <d v="2026-02-16T00:00:00"/>
    <n v="0.85709999999999997"/>
    <n v="4"/>
    <x v="2"/>
  </r>
  <r>
    <d v="2026-02-17T00:00:00"/>
    <n v="0.58330000000000015"/>
    <n v="1"/>
    <x v="1"/>
  </r>
  <r>
    <d v="2026-02-20T00:00:00"/>
    <n v="0.5"/>
    <n v="3"/>
    <x v="2"/>
  </r>
  <r>
    <d v="2026-02-24T00:00:00"/>
    <n v="0.625"/>
    <n v="4"/>
    <x v="2"/>
  </r>
  <r>
    <d v="2026-02-25T00:00:00"/>
    <n v="0.57140000000000002"/>
    <n v="1"/>
    <x v="1"/>
  </r>
  <r>
    <d v="2026-02-28T00:00:00"/>
    <n v="0.90000000000000013"/>
    <n v="3"/>
    <x v="2"/>
  </r>
  <r>
    <d v="2026-03-04T00:00:00"/>
    <n v="1"/>
    <n v="4"/>
    <x v="2"/>
  </r>
  <r>
    <d v="2026-03-05T00:00:00"/>
    <n v="0.70000000000000007"/>
    <n v="1"/>
    <x v="1"/>
  </r>
  <r>
    <d v="2026-03-09T00:00:00"/>
    <n v="0.77780000000000005"/>
    <n v="4"/>
    <x v="2"/>
  </r>
  <r>
    <d v="2026-03-13T00:00:00"/>
    <n v="0.57140000000000002"/>
    <n v="4"/>
    <x v="2"/>
  </r>
  <r>
    <d v="2026-03-14T00:00:00"/>
    <n v="0.57140000000000002"/>
    <n v="1"/>
    <x v="1"/>
  </r>
  <r>
    <d v="2026-03-18T00:00:00"/>
    <n v="0.81819999999999993"/>
    <n v="4"/>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n v="0.72341063829787211"/>
    <x v="0"/>
    <x v="0"/>
  </r>
  <r>
    <x v="1"/>
    <n v="0.71429999999999993"/>
    <x v="0"/>
    <x v="0"/>
  </r>
  <r>
    <x v="2"/>
    <n v="0.55559999999999998"/>
    <x v="1"/>
    <x v="1"/>
  </r>
  <r>
    <x v="3"/>
    <n v="0.875"/>
    <x v="1"/>
    <x v="1"/>
  </r>
  <r>
    <x v="4"/>
    <n v="1"/>
    <x v="2"/>
    <x v="2"/>
  </r>
  <r>
    <x v="5"/>
    <n v="0.70000000000000007"/>
    <x v="1"/>
    <x v="1"/>
  </r>
  <r>
    <x v="6"/>
    <n v="0.57140000000000002"/>
    <x v="3"/>
    <x v="2"/>
  </r>
  <r>
    <x v="7"/>
    <n v="0.63156315789473683"/>
    <x v="0"/>
    <x v="0"/>
  </r>
  <r>
    <x v="8"/>
    <n v="0.71429999999999993"/>
    <x v="0"/>
    <x v="0"/>
  </r>
  <r>
    <x v="9"/>
    <n v="0.58330000000000015"/>
    <x v="4"/>
    <x v="2"/>
  </r>
  <r>
    <x v="10"/>
    <n v="0.51350270270270282"/>
    <x v="0"/>
    <x v="0"/>
  </r>
  <r>
    <x v="11"/>
    <n v="0.33329999999999999"/>
    <x v="0"/>
    <x v="0"/>
  </r>
  <r>
    <x v="12"/>
    <n v="0.5"/>
    <x v="1"/>
    <x v="1"/>
  </r>
  <r>
    <x v="13"/>
    <n v="0.5"/>
    <x v="5"/>
    <x v="2"/>
  </r>
  <r>
    <x v="14"/>
    <n v="0.625"/>
    <x v="6"/>
    <x v="2"/>
  </r>
  <r>
    <x v="15"/>
    <n v="0.57140000000000002"/>
    <x v="1"/>
    <x v="1"/>
  </r>
  <r>
    <x v="16"/>
    <n v="0.7954522727272727"/>
    <x v="0"/>
    <x v="0"/>
  </r>
  <r>
    <x v="17"/>
    <n v="0.85709999999999997"/>
    <x v="0"/>
    <x v="0"/>
  </r>
  <r>
    <x v="18"/>
    <n v="0.90000000000000013"/>
    <x v="7"/>
    <x v="2"/>
  </r>
  <r>
    <x v="19"/>
    <n v="0.77780000000000005"/>
    <x v="3"/>
    <x v="2"/>
  </r>
  <r>
    <x v="20"/>
    <n v="0.57140000000000002"/>
    <x v="6"/>
    <x v="2"/>
  </r>
  <r>
    <x v="21"/>
    <n v="0.81819999999999993"/>
    <x v="4"/>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BD1071-7D98-AE4A-81FF-2725109150FD}" name="DataValidation_PivotTable"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location ref="F4:H23" firstHeaderRow="0" firstDataRow="1" firstDataCol="1"/>
  <pivotFields count="16">
    <pivotField showAll="0"/>
    <pivotField showAll="0"/>
    <pivotField axis="axisRow" dataField="1" numFmtId="14" showAll="0">
      <items count="19">
        <item x="0"/>
        <item x="1"/>
        <item x="2"/>
        <item x="3"/>
        <item x="4"/>
        <item x="5"/>
        <item x="6"/>
        <item x="7"/>
        <item x="8"/>
        <item x="9"/>
        <item x="10"/>
        <item x="11"/>
        <item x="12"/>
        <item x="13"/>
        <item x="14"/>
        <item x="15"/>
        <item x="16"/>
        <item x="17"/>
        <item t="default"/>
      </items>
    </pivotField>
    <pivotField showAll="0"/>
    <pivotField showAll="0"/>
    <pivotField numFmtId="9" showAll="0"/>
    <pivotField showAll="0"/>
    <pivotField showAll="0"/>
    <pivotField showAll="0"/>
    <pivotField dataField="1" showAll="0">
      <items count="2">
        <item x="0"/>
        <item t="default"/>
      </items>
    </pivotField>
    <pivotField showAll="0"/>
    <pivotField showAll="0"/>
    <pivotField numFmtId="10" showAll="0"/>
    <pivotField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Count of date" fld="2" subtotal="count" baseField="0" baseItem="0"/>
    <dataField name="Count of target" fld="9" subtotal="count" baseField="0" baseItem="0"/>
  </dataFields>
  <formats count="12">
    <format dxfId="42">
      <pivotArea type="all" dataOnly="0" outline="0" fieldPosition="0"/>
    </format>
    <format dxfId="41">
      <pivotArea outline="0" collapsedLevelsAreSubtotals="1"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outline="0" fieldPosition="0">
        <references count="1">
          <reference field="4294967294" count="2">
            <x v="0"/>
            <x v="1"/>
          </reference>
        </references>
      </pivotArea>
    </format>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B6776-BC12-514A-B877-A2985407AF12}" name="BTsAnalysis_PivotTable"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BTs">
  <location ref="G5:H10" firstHeaderRow="1" firstDataRow="1" firstDataCol="1"/>
  <pivotFields count="16">
    <pivotField showAll="0"/>
    <pivotField showAll="0"/>
    <pivotField numFmtId="14" showAll="0">
      <items count="19">
        <item x="0"/>
        <item x="1"/>
        <item x="2"/>
        <item x="3"/>
        <item x="4"/>
        <item x="5"/>
        <item x="6"/>
        <item x="7"/>
        <item x="8"/>
        <item x="9"/>
        <item x="10"/>
        <item x="11"/>
        <item x="12"/>
        <item x="13"/>
        <item x="14"/>
        <item x="15"/>
        <item x="16"/>
        <item x="17"/>
        <item t="default"/>
      </items>
    </pivotField>
    <pivotField showAll="0"/>
    <pivotField axis="axisRow" showAll="0">
      <items count="5">
        <item x="0"/>
        <item x="2"/>
        <item x="1"/>
        <item x="3"/>
        <item t="default"/>
      </items>
    </pivotField>
    <pivotField numFmtId="9" showAll="0"/>
    <pivotField showAll="0"/>
    <pivotField showAll="0"/>
    <pivotField showAll="0"/>
    <pivotField showAll="0"/>
    <pivotField showAll="0"/>
    <pivotField showAll="0"/>
    <pivotField numFmtId="10" showAll="0"/>
    <pivotField dataField="1" numFmtId="10"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3"/>
    </i>
    <i t="grand">
      <x/>
    </i>
  </rowItems>
  <colItems count="1">
    <i/>
  </colItems>
  <dataFields count="1">
    <dataField name="Average % Correct" fld="13" subtotal="average" baseField="0" baseItem="0" numFmtId="166"/>
  </dataFields>
  <formats count="18">
    <format dxfId="90">
      <pivotArea type="all" dataOnly="0" outline="0" fieldPosition="0"/>
    </format>
    <format dxfId="89">
      <pivotArea outline="0" collapsedLevelsAreSubtotals="1" fieldPosition="0"/>
    </format>
    <format dxfId="88">
      <pivotArea field="4" type="button" dataOnly="0" labelOnly="1" outline="0" axis="axisRow" fieldPosition="0"/>
    </format>
    <format dxfId="87">
      <pivotArea dataOnly="0" labelOnly="1" fieldPosition="0">
        <references count="1">
          <reference field="4"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4" type="button" dataOnly="0" labelOnly="1" outline="0" axis="axisRow" fieldPosition="0"/>
    </format>
    <format dxfId="81">
      <pivotArea dataOnly="0" labelOnly="1" fieldPosition="0">
        <references count="1">
          <reference field="4" count="0"/>
        </references>
      </pivotArea>
    </format>
    <format dxfId="80">
      <pivotArea dataOnly="0" labelOnly="1" grandRow="1" outline="0" fieldPosition="0"/>
    </format>
    <format dxfId="79">
      <pivotArea dataOnly="0" labelOnly="1" outline="0" axis="axisValues" fieldPosition="0"/>
    </format>
    <format dxfId="72">
      <pivotArea type="all" dataOnly="0" outline="0" fieldPosition="0"/>
    </format>
    <format dxfId="71">
      <pivotArea outline="0" collapsedLevelsAreSubtotals="1" fieldPosition="0"/>
    </format>
    <format dxfId="70">
      <pivotArea field="4" type="button" dataOnly="0" labelOnly="1" outline="0" axis="axisRow" fieldPosition="0"/>
    </format>
    <format dxfId="69">
      <pivotArea dataOnly="0" labelOnly="1" fieldPosition="0">
        <references count="1">
          <reference field="4" count="0"/>
        </references>
      </pivotArea>
    </format>
    <format dxfId="68">
      <pivotArea dataOnly="0" labelOnly="1" grandRow="1" outline="0" fieldPosition="0"/>
    </format>
    <format dxfId="67">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4" count="4">
              <x v="0"/>
              <x v="1"/>
              <x v="2"/>
              <x v="3"/>
            </reference>
          </references>
        </pivotArea>
      </pivotAreas>
    </conditionalFormat>
  </conditionalFormats>
  <chartFormats count="8">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 chart="3" format="15" series="1">
      <pivotArea type="data" outline="0" fieldPosition="0">
        <references count="2">
          <reference field="4294967294" count="1" selected="0">
            <x v="0"/>
          </reference>
          <reference field="4" count="1" selected="0">
            <x v="1"/>
          </reference>
        </references>
      </pivotArea>
    </chartFormat>
    <chartFormat chart="3" format="16" series="1">
      <pivotArea type="data" outline="0" fieldPosition="0">
        <references count="2">
          <reference field="4294967294" count="1" selected="0">
            <x v="0"/>
          </reference>
          <reference field="4" count="1" selected="0">
            <x v="2"/>
          </reference>
        </references>
      </pivotArea>
    </chartFormat>
    <chartFormat chart="3" format="17" series="1">
      <pivotArea type="data" outline="0" fieldPosition="0">
        <references count="2">
          <reference field="4294967294" count="1" selected="0">
            <x v="0"/>
          </reference>
          <reference field="4"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C5F01F-B6C1-E442-9A94-E21A409CA17A}" name="SessionLength_PivotTable"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ession Lengths">
  <location ref="A3:B9" firstHeaderRow="1" firstDataRow="1" firstDataCol="1"/>
  <pivotFields count="16">
    <pivotField showAll="0"/>
    <pivotField showAll="0"/>
    <pivotField numFmtId="14" showAll="0">
      <items count="19">
        <item x="0"/>
        <item x="1"/>
        <item x="2"/>
        <item x="3"/>
        <item x="4"/>
        <item x="5"/>
        <item x="6"/>
        <item x="7"/>
        <item x="8"/>
        <item x="9"/>
        <item x="10"/>
        <item x="11"/>
        <item x="12"/>
        <item x="13"/>
        <item x="14"/>
        <item x="15"/>
        <item x="16"/>
        <item x="17"/>
        <item t="default"/>
      </items>
    </pivotField>
    <pivotField axis="axisRow" showAll="0">
      <items count="6">
        <item x="3"/>
        <item x="2"/>
        <item x="0"/>
        <item x="4"/>
        <item x="1"/>
        <item t="default"/>
      </items>
    </pivotField>
    <pivotField showAll="0">
      <items count="5">
        <item x="0"/>
        <item x="2"/>
        <item x="1"/>
        <item x="3"/>
        <item t="default"/>
      </items>
    </pivotField>
    <pivotField numFmtId="9"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 dataField="1" numFmtId="10" showAll="0"/>
    <pivotField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x="34"/>
        <item x="35"/>
        <item x="36"/>
        <item sd="0" x="37"/>
        <item sd="0" x="38"/>
        <item x="39"/>
        <item x="40"/>
        <item sd="0" x="41"/>
        <item sd="0" x="42"/>
        <item x="43"/>
        <item sd="0" x="44"/>
        <item sd="0" x="45"/>
        <item sd="0" x="46"/>
        <item x="47"/>
        <item x="48"/>
        <item sd="0" x="49"/>
        <item sd="0" x="50"/>
        <item x="51"/>
        <item sd="0" x="52"/>
        <item sd="0" x="53"/>
        <item sd="0" x="54"/>
        <item x="55"/>
        <item x="56"/>
        <item sd="0" x="57"/>
        <item sd="0" x="58"/>
        <item x="59"/>
        <item sd="0" x="60"/>
        <item sd="0" x="61"/>
        <item sd="0" x="62"/>
        <item sd="0" x="63"/>
        <item x="64"/>
        <item x="65"/>
        <item sd="0" x="66"/>
        <item sd="0" x="67"/>
        <item sd="0" x="68"/>
        <item x="69"/>
        <item sd="0" x="70"/>
        <item sd="0" x="71"/>
        <item sd="0" x="72"/>
        <item x="73"/>
        <item x="74"/>
        <item sd="0" x="75"/>
        <item sd="0" x="76"/>
        <item sd="0" x="77"/>
        <item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6">
    <i>
      <x/>
    </i>
    <i>
      <x v="1"/>
    </i>
    <i>
      <x v="2"/>
    </i>
    <i>
      <x v="3"/>
    </i>
    <i>
      <x v="4"/>
    </i>
    <i t="grand">
      <x/>
    </i>
  </rowItems>
  <colItems count="1">
    <i/>
  </colItems>
  <dataFields count="1">
    <dataField name="Average % Correct" fld="12" subtotal="average" baseField="0" baseItem="0" numFmtId="166"/>
  </dataFields>
  <formats count="6">
    <format dxfId="78">
      <pivotArea type="all" dataOnly="0" outline="0" fieldPosition="0"/>
    </format>
    <format dxfId="77">
      <pivotArea outline="0" collapsedLevelsAreSubtotals="1" fieldPosition="0"/>
    </format>
    <format dxfId="76">
      <pivotArea field="3" type="button" dataOnly="0" labelOnly="1" outline="0" axis="axisRow" fieldPosition="0"/>
    </format>
    <format dxfId="75">
      <pivotArea dataOnly="0" labelOnly="1" fieldPosition="0">
        <references count="1">
          <reference field="3" count="0"/>
        </references>
      </pivotArea>
    </format>
    <format dxfId="74">
      <pivotArea dataOnly="0" labelOnly="1" grandRow="1" outline="0" fieldPosition="0"/>
    </format>
    <format dxfId="73">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0"/>
          </reference>
        </references>
      </pivotArea>
    </chartFormat>
    <chartFormat chart="5" format="14">
      <pivotArea type="data" outline="0" fieldPosition="0">
        <references count="2">
          <reference field="4294967294" count="1" selected="0">
            <x v="0"/>
          </reference>
          <reference field="3" count="1" selected="0">
            <x v="1"/>
          </reference>
        </references>
      </pivotArea>
    </chartFormat>
    <chartFormat chart="5" format="15">
      <pivotArea type="data" outline="0" fieldPosition="0">
        <references count="2">
          <reference field="4294967294" count="1" selected="0">
            <x v="0"/>
          </reference>
          <reference field="3" count="1" selected="0">
            <x v="2"/>
          </reference>
        </references>
      </pivotArea>
    </chartFormat>
    <chartFormat chart="5" format="16">
      <pivotArea type="data" outline="0" fieldPosition="0">
        <references count="2">
          <reference field="4294967294" count="1" selected="0">
            <x v="0"/>
          </reference>
          <reference field="3" count="1" selected="0">
            <x v="3"/>
          </reference>
        </references>
      </pivotArea>
    </chartFormat>
    <chartFormat chart="5" format="17">
      <pivotArea type="data" outline="0" fieldPosition="0">
        <references count="2">
          <reference field="4294967294" count="1" selected="0">
            <x v="0"/>
          </reference>
          <reference field="3" count="1" selected="0">
            <x v="4"/>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4BE15E-6638-9441-8BE4-88CC6C2F13C9}" name="Consistency_PivotTable"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onsistency'">
  <location ref="C8:D11" firstHeaderRow="1" firstDataRow="1" firstDataCol="1"/>
  <pivotFields count="4">
    <pivotField numFmtId="14" showAll="0"/>
    <pivotField dataField="1" numFmtId="166" showAll="0"/>
    <pivotField showAll="0"/>
    <pivotField axis="axisRow" showAll="0">
      <items count="4">
        <item x="1"/>
        <item x="2"/>
        <item h="1" x="0"/>
        <item t="default"/>
      </items>
    </pivotField>
  </pivotFields>
  <rowFields count="1">
    <field x="3"/>
  </rowFields>
  <rowItems count="3">
    <i>
      <x/>
    </i>
    <i>
      <x v="1"/>
    </i>
    <i t="grand">
      <x/>
    </i>
  </rowItems>
  <colItems count="1">
    <i/>
  </colItems>
  <dataFields count="1">
    <dataField name="Average Percentage Correct" fld="1" subtotal="average" baseField="0" baseItem="0" numFmtId="166"/>
  </dataFields>
  <formats count="18">
    <format dxfId="60">
      <pivotArea type="all" dataOnly="0" outline="0" fieldPosition="0"/>
    </format>
    <format dxfId="59">
      <pivotArea outline="0" collapsedLevelsAreSubtotals="1" fieldPosition="0"/>
    </format>
    <format dxfId="58">
      <pivotArea field="3" type="button" dataOnly="0" labelOnly="1" outline="0" axis="axisRow" fieldPosition="0"/>
    </format>
    <format dxfId="57">
      <pivotArea dataOnly="0" labelOnly="1" fieldPosition="0">
        <references count="1">
          <reference field="3"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3" type="button" dataOnly="0" labelOnly="1" outline="0" axis="axisRow" fieldPosition="0"/>
    </format>
    <format dxfId="51">
      <pivotArea dataOnly="0" labelOnly="1" fieldPosition="0">
        <references count="1">
          <reference field="3"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outline="0" axis="axisValues" fieldPosition="0"/>
    </format>
  </formats>
  <chartFormats count="2">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5ACB5E-4737-1343-815D-9FD0696B6F82}" name="PivotTable29"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Ts and Date">
  <location ref="A3:B26" firstHeaderRow="1" firstDataRow="1" firstDataCol="1"/>
  <pivotFields count="16">
    <pivotField showAll="0"/>
    <pivotField showAll="0"/>
    <pivotField axis="axisRow" numFmtId="14" showAll="0">
      <items count="19">
        <item x="0"/>
        <item x="1"/>
        <item x="2"/>
        <item x="3"/>
        <item x="4"/>
        <item x="5"/>
        <item x="6"/>
        <item x="7"/>
        <item x="8"/>
        <item x="9"/>
        <item x="10"/>
        <item x="11"/>
        <item x="12"/>
        <item x="13"/>
        <item x="14"/>
        <item x="15"/>
        <item x="16"/>
        <item x="17"/>
        <item t="default"/>
      </items>
    </pivotField>
    <pivotField showAll="0"/>
    <pivotField axis="axisRow" showAll="0" sortType="ascending">
      <items count="5">
        <item x="0"/>
        <item x="2"/>
        <item x="1"/>
        <item x="3"/>
        <item t="default"/>
      </items>
    </pivotField>
    <pivotField numFmtId="9" showAll="0"/>
    <pivotField showAll="0"/>
    <pivotField showAll="0"/>
    <pivotField showAll="0"/>
    <pivotField showAll="0"/>
    <pivotField showAll="0"/>
    <pivotField showAll="0"/>
    <pivotField numFmtId="10" showAll="0"/>
    <pivotField dataField="1" numFmtId="10"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4"/>
    <field x="2"/>
  </rowFields>
  <rowItems count="23">
    <i>
      <x/>
    </i>
    <i r="1">
      <x/>
    </i>
    <i r="1">
      <x v="1"/>
    </i>
    <i r="1">
      <x v="2"/>
    </i>
    <i r="1">
      <x v="12"/>
    </i>
    <i r="1">
      <x v="13"/>
    </i>
    <i r="1">
      <x v="16"/>
    </i>
    <i>
      <x v="1"/>
    </i>
    <i r="1">
      <x v="5"/>
    </i>
    <i r="1">
      <x v="7"/>
    </i>
    <i>
      <x v="2"/>
    </i>
    <i r="1">
      <x v="3"/>
    </i>
    <i r="1">
      <x v="4"/>
    </i>
    <i r="1">
      <x v="8"/>
    </i>
    <i r="1">
      <x v="9"/>
    </i>
    <i r="1">
      <x v="10"/>
    </i>
    <i>
      <x v="3"/>
    </i>
    <i r="1">
      <x v="6"/>
    </i>
    <i r="1">
      <x v="11"/>
    </i>
    <i r="1">
      <x v="14"/>
    </i>
    <i r="1">
      <x v="15"/>
    </i>
    <i r="1">
      <x v="17"/>
    </i>
    <i t="grand">
      <x/>
    </i>
  </rowItems>
  <colItems count="1">
    <i/>
  </colItems>
  <dataFields count="1">
    <dataField name="Average % Correct" fld="13" subtotal="average" baseField="0" baseItem="0" numFmtId="166"/>
  </dataFields>
  <formats count="10">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fieldPosition="0">
        <references count="1">
          <reference field="4" count="0"/>
        </references>
      </pivotArea>
    </format>
    <format dxfId="26">
      <pivotArea dataOnly="0" labelOnly="1" grandRow="1" outline="0" fieldPosition="0"/>
    </format>
    <format dxfId="25">
      <pivotArea dataOnly="0" labelOnly="1" fieldPosition="0">
        <references count="2">
          <reference field="2" count="6">
            <x v="0"/>
            <x v="1"/>
            <x v="2"/>
            <x v="12"/>
            <x v="13"/>
            <x v="16"/>
          </reference>
          <reference field="4" count="1" selected="0">
            <x v="0"/>
          </reference>
        </references>
      </pivotArea>
    </format>
    <format dxfId="24">
      <pivotArea dataOnly="0" labelOnly="1" fieldPosition="0">
        <references count="2">
          <reference field="2" count="2">
            <x v="5"/>
            <x v="7"/>
          </reference>
          <reference field="4" count="1" selected="0">
            <x v="1"/>
          </reference>
        </references>
      </pivotArea>
    </format>
    <format dxfId="23">
      <pivotArea dataOnly="0" labelOnly="1" fieldPosition="0">
        <references count="2">
          <reference field="2" count="5">
            <x v="3"/>
            <x v="4"/>
            <x v="8"/>
            <x v="9"/>
            <x v="10"/>
          </reference>
          <reference field="4" count="1" selected="0">
            <x v="2"/>
          </reference>
        </references>
      </pivotArea>
    </format>
    <format dxfId="22">
      <pivotArea dataOnly="0" labelOnly="1" fieldPosition="0">
        <references count="2">
          <reference field="2" count="5">
            <x v="6"/>
            <x v="11"/>
            <x v="14"/>
            <x v="15"/>
            <x v="17"/>
          </reference>
          <reference field="4" count="1" selected="0">
            <x v="3"/>
          </reference>
        </references>
      </pivotArea>
    </format>
    <format dxfId="21">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2" count="18">
              <x v="0"/>
              <x v="1"/>
              <x v="2"/>
              <x v="3"/>
              <x v="4"/>
              <x v="5"/>
              <x v="6"/>
              <x v="7"/>
              <x v="8"/>
              <x v="9"/>
              <x v="10"/>
              <x v="11"/>
              <x v="12"/>
              <x v="13"/>
              <x v="14"/>
              <x v="15"/>
              <x v="16"/>
              <x v="17"/>
            </reference>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9AA73D-3396-3840-B54D-45331E013B5E}" name="PivotTable31"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aps between Sessions">
  <location ref="A3:B13" firstHeaderRow="1" firstDataRow="1" firstDataCol="1"/>
  <pivotFields count="4">
    <pivotField showAll="0">
      <items count="23">
        <item x="0"/>
        <item x="7"/>
        <item x="10"/>
        <item x="16"/>
        <item x="1"/>
        <item x="2"/>
        <item x="3"/>
        <item x="11"/>
        <item x="12"/>
        <item x="8"/>
        <item x="17"/>
        <item x="9"/>
        <item x="13"/>
        <item x="14"/>
        <item x="15"/>
        <item x="18"/>
        <item x="4"/>
        <item x="5"/>
        <item x="19"/>
        <item x="20"/>
        <item x="6"/>
        <item x="21"/>
        <item t="default"/>
      </items>
    </pivotField>
    <pivotField dataField="1" numFmtId="166" showAll="0"/>
    <pivotField axis="axisRow" showAll="0">
      <items count="9">
        <item x="1"/>
        <item x="6"/>
        <item x="4"/>
        <item x="3"/>
        <item x="5"/>
        <item x="7"/>
        <item x="2"/>
        <item x="0"/>
        <item t="default"/>
      </items>
    </pivotField>
    <pivotField axis="axisRow" showAll="0">
      <items count="4">
        <item x="1"/>
        <item x="2"/>
        <item h="1" x="0"/>
        <item t="default"/>
      </items>
    </pivotField>
  </pivotFields>
  <rowFields count="2">
    <field x="3"/>
    <field x="2"/>
  </rowFields>
  <rowItems count="10">
    <i>
      <x/>
    </i>
    <i r="1">
      <x/>
    </i>
    <i>
      <x v="1"/>
    </i>
    <i r="1">
      <x v="1"/>
    </i>
    <i r="1">
      <x v="2"/>
    </i>
    <i r="1">
      <x v="3"/>
    </i>
    <i r="1">
      <x v="4"/>
    </i>
    <i r="1">
      <x v="5"/>
    </i>
    <i r="1">
      <x v="6"/>
    </i>
    <i t="grand">
      <x/>
    </i>
  </rowItems>
  <colItems count="1">
    <i/>
  </colItems>
  <dataFields count="1">
    <dataField name="Average of Average % Correct" fld="1" subtotal="average" baseField="0" baseItem="0" numFmtId="166"/>
  </dataFields>
  <formats count="8">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fieldPosition="0">
        <references count="2">
          <reference field="2" count="1">
            <x v="0"/>
          </reference>
          <reference field="3" count="1" selected="0">
            <x v="0"/>
          </reference>
        </references>
      </pivotArea>
    </format>
    <format dxfId="1">
      <pivotArea dataOnly="0" labelOnly="1" fieldPosition="0">
        <references count="2">
          <reference field="2" count="6">
            <x v="1"/>
            <x v="2"/>
            <x v="3"/>
            <x v="4"/>
            <x v="5"/>
            <x v="6"/>
          </reference>
          <reference field="3" count="1" selected="0">
            <x v="1"/>
          </reference>
        </references>
      </pivotArea>
    </format>
    <format dxfId="0">
      <pivotArea dataOnly="0" labelOnly="1" outline="0" axis="axisValues"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wData_Table" displayName="RawData_Table" ref="A1:N148">
  <autoFilter ref="A1:N148" xr:uid="{00000000-0009-0000-0100-000001000000}"/>
  <tableColumns count="14">
    <tableColumn id="1" xr3:uid="{00000000-0010-0000-0000-000001000000}" name="programType"/>
    <tableColumn id="2" xr3:uid="{00000000-0010-0000-0000-000002000000}" name="programName"/>
    <tableColumn id="3" xr3:uid="{00000000-0010-0000-0000-000003000000}" name="date"/>
    <tableColumn id="4" xr3:uid="{00000000-0010-0000-0000-000004000000}" name="sessionLength"/>
    <tableColumn id="5" xr3:uid="{00000000-0010-0000-0000-000005000000}" name="therapistName"/>
    <tableColumn id="6" xr3:uid="{00000000-0010-0000-0000-000006000000}" name="masteryCriteria"/>
    <tableColumn id="7" xr3:uid="{00000000-0010-0000-0000-000007000000}" name="masterySessions"/>
    <tableColumn id="8" xr3:uid="{00000000-0010-0000-0000-000008000000}" name="phase"/>
    <tableColumn id="9" xr3:uid="{00000000-0010-0000-0000-000009000000}" name="listNumAndName"/>
    <tableColumn id="10" xr3:uid="{00000000-0010-0000-0000-00000A000000}" name="target"/>
    <tableColumn id="11" xr3:uid="{00000000-0010-0000-0000-00000B000000}" name="trialNumber"/>
    <tableColumn id="12" xr3:uid="{00000000-0010-0000-0000-00000C000000}" name="score"/>
    <tableColumn id="13" xr3:uid="{00000000-0010-0000-0000-00000D000000}" name="targetPercentCorrect"/>
    <tableColumn id="14" xr3:uid="{00000000-0010-0000-0000-00000E000000}" name="listPercentCorrec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7BB2AE-AE1D-4D45-97C3-32F3D373C111}" name="CleanedData_Table" displayName="CleanedData_Table" ref="A1:N148">
  <autoFilter ref="A1:N148" xr:uid="{577BB2AE-AE1D-4D45-97C3-32F3D373C111}"/>
  <tableColumns count="14">
    <tableColumn id="1" xr3:uid="{126688EA-0F21-4B4E-B5AB-758DDB869BAD}" name="programType"/>
    <tableColumn id="2" xr3:uid="{E32C7130-37C8-C944-B018-A4FCCE219F74}" name="programName"/>
    <tableColumn id="3" xr3:uid="{E2549308-5B2D-BD42-9250-A5A40969C89C}" name="date" dataDxfId="92"/>
    <tableColumn id="4" xr3:uid="{8DF1AF07-4C10-B844-9E9B-08250CAE24BE}" name="sessionLength"/>
    <tableColumn id="5" xr3:uid="{68EAFC13-D83E-4C4B-BAA6-7E3AEBCD61D8}" name="therapistName"/>
    <tableColumn id="6" xr3:uid="{BABE0667-240A-BC43-9836-94AF96A9469D}" name="masteryCriteria" dataDxfId="94"/>
    <tableColumn id="7" xr3:uid="{05AA2F32-C1BE-084A-AF70-60870DC42B4A}" name="masterySessions"/>
    <tableColumn id="8" xr3:uid="{F883993F-3499-2F41-9E1C-F48424608041}" name="phase"/>
    <tableColumn id="9" xr3:uid="{D50D5D33-EEB4-3E4F-9CCD-8C1CBAFA369D}" name="listNumAndName"/>
    <tableColumn id="10" xr3:uid="{EA071B94-03B1-154A-9DED-4354893FEC94}" name="target"/>
    <tableColumn id="11" xr3:uid="{309A0986-6EC1-7648-B0FA-56B7EBEF60D8}" name="trialNumber"/>
    <tableColumn id="12" xr3:uid="{53F2487D-7FDC-6B4B-9173-4FA4598DA1AB}" name="score"/>
    <tableColumn id="13" xr3:uid="{89C6D31F-E652-3A4F-A064-24A6AD4C66F6}" name="targetPercentCorrect" dataDxfId="93"/>
    <tableColumn id="14" xr3:uid="{510B314B-A895-4545-A819-80A7EDBD5507}" name="listPercentCorrect" dataDxfId="9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7D6DEF-16F8-E347-9C2B-5696155A30D3}" name="Consistency_Table" displayName="Consistency_Table" ref="E7:H25" totalsRowShown="0" headerRowDxfId="62" dataDxfId="61">
  <autoFilter ref="E7:H25" xr:uid="{DC7D6DEF-16F8-E347-9C2B-5696155A30D3}"/>
  <tableColumns count="4">
    <tableColumn id="1" xr3:uid="{0E274AF8-D3C5-EC4C-83BF-FEF7EBC80097}" name="Dates" dataDxfId="66"/>
    <tableColumn id="2" xr3:uid="{C5B6296B-BF03-EC4B-A368-DA76C5F218CC}" name="Average % Correct" dataDxfId="65" dataCellStyle="Percent"/>
    <tableColumn id="3" xr3:uid="{485098A5-21FD-444F-A202-F2C79C9BC83C}" name="Gap between Sessions" dataDxfId="64">
      <calculatedColumnFormula>E8-E7</calculatedColumnFormula>
    </tableColumn>
    <tableColumn id="4" xr3:uid="{21C24897-D250-B34E-A477-7A5E0593B543}" name="Consistency" dataDxfId="63">
      <calculatedColumnFormula>IF(G8&lt;=2,"Consistent","Inconsistent")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4155E5C-10B0-924B-98E7-34E6FEB3E652}" name="Table5" displayName="Table5" ref="J7:M29" totalsRowShown="0" headerRowDxfId="20">
  <autoFilter ref="J7:M29" xr:uid="{84155E5C-10B0-924B-98E7-34E6FEB3E652}"/>
  <tableColumns count="4">
    <tableColumn id="1" xr3:uid="{3BABFE21-0CCF-9F4E-98A7-2B14F57E1805}" name="BTs and Date" dataDxfId="19"/>
    <tableColumn id="2" xr3:uid="{14072460-8D97-9B4E-9ED7-162CF60D8FD5}" name="Average % Correct" dataDxfId="18"/>
    <tableColumn id="3" xr3:uid="{CBCC9AA6-094F-2A45-B966-8F96AB58327B}" name="Gap between Sessions" dataDxfId="17">
      <calculatedColumnFormula>J8-J7</calculatedColumnFormula>
    </tableColumn>
    <tableColumn id="4" xr3:uid="{5394DCB7-6B3C-CE49-B683-253327EED568}" name="Consistency" dataDxfId="16">
      <calculatedColumnFormula>IF(L8&lt;=2, "Consistent","Inconsistent")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8"/>
  <sheetViews>
    <sheetView tabSelected="1" zoomScale="60" workbookViewId="0">
      <pane ySplit="1" topLeftCell="A2" activePane="bottomLeft" state="frozen"/>
      <selection pane="bottomLeft" activeCell="B141" sqref="B141"/>
    </sheetView>
  </sheetViews>
  <sheetFormatPr baseColWidth="10" defaultColWidth="8.83203125" defaultRowHeight="15" x14ac:dyDescent="0.2"/>
  <cols>
    <col min="1" max="1" width="14" customWidth="1"/>
    <col min="2" max="2" width="42" customWidth="1"/>
    <col min="3" max="3" width="22" customWidth="1"/>
    <col min="4" max="5" width="14" customWidth="1"/>
    <col min="6" max="7" width="16" customWidth="1"/>
    <col min="8" max="8" width="12" customWidth="1"/>
    <col min="9" max="9" width="52" customWidth="1"/>
    <col min="10" max="10" width="90" customWidth="1"/>
    <col min="11" max="12" width="12" customWidth="1"/>
    <col min="13" max="14" width="18"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t="s">
        <v>16</v>
      </c>
      <c r="D2" t="s">
        <v>17</v>
      </c>
      <c r="E2" t="s">
        <v>18</v>
      </c>
      <c r="F2" t="s">
        <v>19</v>
      </c>
      <c r="G2">
        <v>5</v>
      </c>
      <c r="H2" t="s">
        <v>20</v>
      </c>
      <c r="I2" t="s">
        <v>21</v>
      </c>
      <c r="J2" t="s">
        <v>22</v>
      </c>
      <c r="K2">
        <v>1</v>
      </c>
      <c r="L2" t="s">
        <v>23</v>
      </c>
      <c r="M2" t="s">
        <v>24</v>
      </c>
      <c r="N2" t="s">
        <v>24</v>
      </c>
    </row>
    <row r="3" spans="1:14" x14ac:dyDescent="0.2">
      <c r="A3" t="s">
        <v>14</v>
      </c>
      <c r="B3" t="s">
        <v>15</v>
      </c>
      <c r="C3" t="s">
        <v>16</v>
      </c>
      <c r="D3" t="s">
        <v>17</v>
      </c>
      <c r="E3" t="s">
        <v>18</v>
      </c>
      <c r="F3" t="s">
        <v>19</v>
      </c>
      <c r="G3">
        <v>5</v>
      </c>
      <c r="H3" t="s">
        <v>20</v>
      </c>
      <c r="I3" t="s">
        <v>21</v>
      </c>
      <c r="J3" t="s">
        <v>22</v>
      </c>
      <c r="K3">
        <v>2</v>
      </c>
      <c r="L3" t="s">
        <v>25</v>
      </c>
      <c r="M3" t="s">
        <v>24</v>
      </c>
      <c r="N3" t="s">
        <v>24</v>
      </c>
    </row>
    <row r="4" spans="1:14" x14ac:dyDescent="0.2">
      <c r="A4" t="s">
        <v>14</v>
      </c>
      <c r="B4" t="s">
        <v>15</v>
      </c>
      <c r="C4" t="s">
        <v>16</v>
      </c>
      <c r="D4" t="s">
        <v>17</v>
      </c>
      <c r="E4" t="s">
        <v>18</v>
      </c>
      <c r="F4" t="s">
        <v>19</v>
      </c>
      <c r="G4">
        <v>5</v>
      </c>
      <c r="H4" t="s">
        <v>20</v>
      </c>
      <c r="I4" t="s">
        <v>21</v>
      </c>
      <c r="J4" t="s">
        <v>22</v>
      </c>
      <c r="K4">
        <v>3</v>
      </c>
      <c r="L4" t="s">
        <v>23</v>
      </c>
      <c r="M4" t="s">
        <v>24</v>
      </c>
      <c r="N4" t="s">
        <v>24</v>
      </c>
    </row>
    <row r="5" spans="1:14" x14ac:dyDescent="0.2">
      <c r="A5" t="s">
        <v>14</v>
      </c>
      <c r="B5" t="s">
        <v>15</v>
      </c>
      <c r="C5" t="s">
        <v>16</v>
      </c>
      <c r="D5" t="s">
        <v>17</v>
      </c>
      <c r="E5" t="s">
        <v>18</v>
      </c>
      <c r="F5" t="s">
        <v>19</v>
      </c>
      <c r="G5">
        <v>5</v>
      </c>
      <c r="H5" t="s">
        <v>20</v>
      </c>
      <c r="I5" t="s">
        <v>21</v>
      </c>
      <c r="J5" t="s">
        <v>22</v>
      </c>
      <c r="K5">
        <v>4</v>
      </c>
      <c r="L5" t="s">
        <v>25</v>
      </c>
      <c r="M5" t="s">
        <v>24</v>
      </c>
      <c r="N5" t="s">
        <v>24</v>
      </c>
    </row>
    <row r="6" spans="1:14" x14ac:dyDescent="0.2">
      <c r="A6" t="s">
        <v>14</v>
      </c>
      <c r="B6" t="s">
        <v>15</v>
      </c>
      <c r="C6" t="s">
        <v>16</v>
      </c>
      <c r="D6" t="s">
        <v>17</v>
      </c>
      <c r="E6" t="s">
        <v>18</v>
      </c>
      <c r="F6" t="s">
        <v>19</v>
      </c>
      <c r="G6">
        <v>5</v>
      </c>
      <c r="H6" t="s">
        <v>20</v>
      </c>
      <c r="I6" t="s">
        <v>21</v>
      </c>
      <c r="J6" t="s">
        <v>22</v>
      </c>
      <c r="K6">
        <v>5</v>
      </c>
      <c r="L6" t="s">
        <v>25</v>
      </c>
      <c r="M6" t="s">
        <v>24</v>
      </c>
      <c r="N6" t="s">
        <v>24</v>
      </c>
    </row>
    <row r="7" spans="1:14" x14ac:dyDescent="0.2">
      <c r="A7" t="s">
        <v>14</v>
      </c>
      <c r="B7" t="s">
        <v>15</v>
      </c>
      <c r="C7" t="s">
        <v>16</v>
      </c>
      <c r="D7" t="s">
        <v>17</v>
      </c>
      <c r="E7" t="s">
        <v>18</v>
      </c>
      <c r="F7" t="s">
        <v>19</v>
      </c>
      <c r="G7">
        <v>5</v>
      </c>
      <c r="H7" t="s">
        <v>20</v>
      </c>
      <c r="I7" t="s">
        <v>21</v>
      </c>
      <c r="J7" t="s">
        <v>22</v>
      </c>
      <c r="K7">
        <v>6</v>
      </c>
      <c r="L7" t="s">
        <v>25</v>
      </c>
      <c r="M7" t="s">
        <v>24</v>
      </c>
      <c r="N7" t="s">
        <v>24</v>
      </c>
    </row>
    <row r="8" spans="1:14" x14ac:dyDescent="0.2">
      <c r="A8" t="s">
        <v>14</v>
      </c>
      <c r="B8" t="s">
        <v>15</v>
      </c>
      <c r="C8" t="s">
        <v>16</v>
      </c>
      <c r="D8" t="s">
        <v>17</v>
      </c>
      <c r="E8" t="s">
        <v>18</v>
      </c>
      <c r="F8" t="s">
        <v>19</v>
      </c>
      <c r="G8">
        <v>5</v>
      </c>
      <c r="H8" t="s">
        <v>20</v>
      </c>
      <c r="I8" t="s">
        <v>21</v>
      </c>
      <c r="J8" t="s">
        <v>22</v>
      </c>
      <c r="K8">
        <v>7</v>
      </c>
      <c r="L8" t="s">
        <v>25</v>
      </c>
      <c r="M8" t="s">
        <v>24</v>
      </c>
      <c r="N8" t="s">
        <v>24</v>
      </c>
    </row>
    <row r="9" spans="1:14" x14ac:dyDescent="0.2">
      <c r="A9" t="s">
        <v>14</v>
      </c>
      <c r="B9" t="s">
        <v>15</v>
      </c>
      <c r="C9" t="s">
        <v>26</v>
      </c>
      <c r="D9" t="s">
        <v>27</v>
      </c>
      <c r="E9" t="s">
        <v>18</v>
      </c>
      <c r="F9" t="s">
        <v>19</v>
      </c>
      <c r="G9">
        <v>5</v>
      </c>
      <c r="H9" t="s">
        <v>20</v>
      </c>
      <c r="I9" t="s">
        <v>21</v>
      </c>
      <c r="J9" t="s">
        <v>22</v>
      </c>
      <c r="K9">
        <v>1</v>
      </c>
      <c r="L9" t="s">
        <v>25</v>
      </c>
      <c r="M9" t="s">
        <v>28</v>
      </c>
      <c r="N9" t="s">
        <v>28</v>
      </c>
    </row>
    <row r="10" spans="1:14" x14ac:dyDescent="0.2">
      <c r="A10" t="s">
        <v>14</v>
      </c>
      <c r="B10" t="s">
        <v>15</v>
      </c>
      <c r="C10" t="s">
        <v>26</v>
      </c>
      <c r="D10" t="s">
        <v>27</v>
      </c>
      <c r="E10" t="s">
        <v>18</v>
      </c>
      <c r="F10" t="s">
        <v>19</v>
      </c>
      <c r="G10">
        <v>5</v>
      </c>
      <c r="H10" t="s">
        <v>20</v>
      </c>
      <c r="I10" t="s">
        <v>21</v>
      </c>
      <c r="J10" t="s">
        <v>22</v>
      </c>
      <c r="K10">
        <v>2</v>
      </c>
      <c r="L10" t="s">
        <v>23</v>
      </c>
      <c r="M10" t="s">
        <v>28</v>
      </c>
      <c r="N10" t="s">
        <v>28</v>
      </c>
    </row>
    <row r="11" spans="1:14" x14ac:dyDescent="0.2">
      <c r="A11" t="s">
        <v>14</v>
      </c>
      <c r="B11" t="s">
        <v>15</v>
      </c>
      <c r="C11" t="s">
        <v>26</v>
      </c>
      <c r="D11" t="s">
        <v>27</v>
      </c>
      <c r="E11" t="s">
        <v>18</v>
      </c>
      <c r="F11" t="s">
        <v>19</v>
      </c>
      <c r="G11">
        <v>5</v>
      </c>
      <c r="H11" t="s">
        <v>20</v>
      </c>
      <c r="I11" t="s">
        <v>21</v>
      </c>
      <c r="J11" t="s">
        <v>22</v>
      </c>
      <c r="K11">
        <v>3</v>
      </c>
      <c r="L11" t="s">
        <v>25</v>
      </c>
      <c r="M11" t="s">
        <v>28</v>
      </c>
      <c r="N11" t="s">
        <v>28</v>
      </c>
    </row>
    <row r="12" spans="1:14" x14ac:dyDescent="0.2">
      <c r="A12" t="s">
        <v>14</v>
      </c>
      <c r="B12" t="s">
        <v>15</v>
      </c>
      <c r="C12" t="s">
        <v>26</v>
      </c>
      <c r="D12" t="s">
        <v>27</v>
      </c>
      <c r="E12" t="s">
        <v>18</v>
      </c>
      <c r="F12" t="s">
        <v>19</v>
      </c>
      <c r="G12">
        <v>5</v>
      </c>
      <c r="H12" t="s">
        <v>20</v>
      </c>
      <c r="I12" t="s">
        <v>21</v>
      </c>
      <c r="J12" t="s">
        <v>22</v>
      </c>
      <c r="K12">
        <v>4</v>
      </c>
      <c r="L12" t="s">
        <v>23</v>
      </c>
      <c r="M12" t="s">
        <v>28</v>
      </c>
      <c r="N12" t="s">
        <v>28</v>
      </c>
    </row>
    <row r="13" spans="1:14" x14ac:dyDescent="0.2">
      <c r="A13" t="s">
        <v>14</v>
      </c>
      <c r="B13" t="s">
        <v>15</v>
      </c>
      <c r="C13" t="s">
        <v>26</v>
      </c>
      <c r="D13" t="s">
        <v>27</v>
      </c>
      <c r="E13" t="s">
        <v>18</v>
      </c>
      <c r="F13" t="s">
        <v>19</v>
      </c>
      <c r="G13">
        <v>5</v>
      </c>
      <c r="H13" t="s">
        <v>20</v>
      </c>
      <c r="I13" t="s">
        <v>21</v>
      </c>
      <c r="J13" t="s">
        <v>22</v>
      </c>
      <c r="K13">
        <v>5</v>
      </c>
      <c r="L13" t="s">
        <v>23</v>
      </c>
      <c r="M13" t="s">
        <v>28</v>
      </c>
      <c r="N13" t="s">
        <v>28</v>
      </c>
    </row>
    <row r="14" spans="1:14" x14ac:dyDescent="0.2">
      <c r="A14" t="s">
        <v>14</v>
      </c>
      <c r="B14" t="s">
        <v>15</v>
      </c>
      <c r="C14" t="s">
        <v>26</v>
      </c>
      <c r="D14" t="s">
        <v>27</v>
      </c>
      <c r="E14" t="s">
        <v>18</v>
      </c>
      <c r="F14" t="s">
        <v>19</v>
      </c>
      <c r="G14">
        <v>5</v>
      </c>
      <c r="H14" t="s">
        <v>20</v>
      </c>
      <c r="I14" t="s">
        <v>21</v>
      </c>
      <c r="J14" t="s">
        <v>22</v>
      </c>
      <c r="K14">
        <v>6</v>
      </c>
      <c r="L14" t="s">
        <v>25</v>
      </c>
      <c r="M14" t="s">
        <v>28</v>
      </c>
      <c r="N14" t="s">
        <v>28</v>
      </c>
    </row>
    <row r="15" spans="1:14" x14ac:dyDescent="0.2">
      <c r="A15" t="s">
        <v>14</v>
      </c>
      <c r="B15" t="s">
        <v>15</v>
      </c>
      <c r="C15" t="s">
        <v>26</v>
      </c>
      <c r="D15" t="s">
        <v>27</v>
      </c>
      <c r="E15" t="s">
        <v>18</v>
      </c>
      <c r="F15" t="s">
        <v>19</v>
      </c>
      <c r="G15">
        <v>5</v>
      </c>
      <c r="H15" t="s">
        <v>20</v>
      </c>
      <c r="I15" t="s">
        <v>21</v>
      </c>
      <c r="J15" t="s">
        <v>22</v>
      </c>
      <c r="K15">
        <v>7</v>
      </c>
      <c r="L15" t="s">
        <v>25</v>
      </c>
      <c r="M15" t="s">
        <v>28</v>
      </c>
      <c r="N15" t="s">
        <v>28</v>
      </c>
    </row>
    <row r="16" spans="1:14" x14ac:dyDescent="0.2">
      <c r="A16" t="s">
        <v>14</v>
      </c>
      <c r="B16" t="s">
        <v>15</v>
      </c>
      <c r="C16" t="s">
        <v>26</v>
      </c>
      <c r="D16" t="s">
        <v>27</v>
      </c>
      <c r="E16" t="s">
        <v>18</v>
      </c>
      <c r="F16" t="s">
        <v>19</v>
      </c>
      <c r="G16">
        <v>5</v>
      </c>
      <c r="H16" t="s">
        <v>20</v>
      </c>
      <c r="I16" t="s">
        <v>21</v>
      </c>
      <c r="J16" t="s">
        <v>22</v>
      </c>
      <c r="K16">
        <v>8</v>
      </c>
      <c r="L16" t="s">
        <v>23</v>
      </c>
      <c r="M16" t="s">
        <v>28</v>
      </c>
      <c r="N16" t="s">
        <v>28</v>
      </c>
    </row>
    <row r="17" spans="1:14" x14ac:dyDescent="0.2">
      <c r="A17" t="s">
        <v>14</v>
      </c>
      <c r="B17" t="s">
        <v>15</v>
      </c>
      <c r="C17" t="s">
        <v>26</v>
      </c>
      <c r="D17" t="s">
        <v>27</v>
      </c>
      <c r="E17" t="s">
        <v>18</v>
      </c>
      <c r="F17" t="s">
        <v>19</v>
      </c>
      <c r="G17">
        <v>5</v>
      </c>
      <c r="H17" t="s">
        <v>20</v>
      </c>
      <c r="I17" t="s">
        <v>21</v>
      </c>
      <c r="J17" t="s">
        <v>22</v>
      </c>
      <c r="K17">
        <v>9</v>
      </c>
      <c r="L17" t="s">
        <v>25</v>
      </c>
      <c r="M17" t="s">
        <v>28</v>
      </c>
      <c r="N17" t="s">
        <v>28</v>
      </c>
    </row>
    <row r="18" spans="1:14" x14ac:dyDescent="0.2">
      <c r="A18" t="s">
        <v>14</v>
      </c>
      <c r="B18" t="s">
        <v>15</v>
      </c>
      <c r="C18" t="s">
        <v>29</v>
      </c>
      <c r="D18" t="s">
        <v>30</v>
      </c>
      <c r="E18" t="s">
        <v>18</v>
      </c>
      <c r="F18" t="s">
        <v>19</v>
      </c>
      <c r="G18">
        <v>5</v>
      </c>
      <c r="H18" t="s">
        <v>20</v>
      </c>
      <c r="I18" t="s">
        <v>21</v>
      </c>
      <c r="J18" t="s">
        <v>22</v>
      </c>
      <c r="K18">
        <v>1</v>
      </c>
      <c r="L18" t="s">
        <v>25</v>
      </c>
      <c r="M18" t="s">
        <v>31</v>
      </c>
      <c r="N18" t="s">
        <v>31</v>
      </c>
    </row>
    <row r="19" spans="1:14" x14ac:dyDescent="0.2">
      <c r="A19" t="s">
        <v>14</v>
      </c>
      <c r="B19" t="s">
        <v>15</v>
      </c>
      <c r="C19" t="s">
        <v>29</v>
      </c>
      <c r="D19" t="s">
        <v>30</v>
      </c>
      <c r="E19" t="s">
        <v>18</v>
      </c>
      <c r="F19" t="s">
        <v>19</v>
      </c>
      <c r="G19">
        <v>5</v>
      </c>
      <c r="H19" t="s">
        <v>20</v>
      </c>
      <c r="I19" t="s">
        <v>21</v>
      </c>
      <c r="J19" t="s">
        <v>22</v>
      </c>
      <c r="K19">
        <v>2</v>
      </c>
      <c r="L19" t="s">
        <v>25</v>
      </c>
      <c r="M19" t="s">
        <v>31</v>
      </c>
      <c r="N19" t="s">
        <v>31</v>
      </c>
    </row>
    <row r="20" spans="1:14" x14ac:dyDescent="0.2">
      <c r="A20" t="s">
        <v>14</v>
      </c>
      <c r="B20" t="s">
        <v>15</v>
      </c>
      <c r="C20" t="s">
        <v>29</v>
      </c>
      <c r="D20" t="s">
        <v>30</v>
      </c>
      <c r="E20" t="s">
        <v>18</v>
      </c>
      <c r="F20" t="s">
        <v>19</v>
      </c>
      <c r="G20">
        <v>5</v>
      </c>
      <c r="H20" t="s">
        <v>20</v>
      </c>
      <c r="I20" t="s">
        <v>21</v>
      </c>
      <c r="J20" t="s">
        <v>22</v>
      </c>
      <c r="K20">
        <v>3</v>
      </c>
      <c r="L20" t="s">
        <v>25</v>
      </c>
      <c r="M20" t="s">
        <v>31</v>
      </c>
      <c r="N20" t="s">
        <v>31</v>
      </c>
    </row>
    <row r="21" spans="1:14" x14ac:dyDescent="0.2">
      <c r="A21" t="s">
        <v>14</v>
      </c>
      <c r="B21" t="s">
        <v>15</v>
      </c>
      <c r="C21" t="s">
        <v>29</v>
      </c>
      <c r="D21" t="s">
        <v>30</v>
      </c>
      <c r="E21" t="s">
        <v>18</v>
      </c>
      <c r="F21" t="s">
        <v>19</v>
      </c>
      <c r="G21">
        <v>5</v>
      </c>
      <c r="H21" t="s">
        <v>20</v>
      </c>
      <c r="I21" t="s">
        <v>21</v>
      </c>
      <c r="J21" t="s">
        <v>22</v>
      </c>
      <c r="K21">
        <v>4</v>
      </c>
      <c r="L21" t="s">
        <v>25</v>
      </c>
      <c r="M21" t="s">
        <v>31</v>
      </c>
      <c r="N21" t="s">
        <v>31</v>
      </c>
    </row>
    <row r="22" spans="1:14" x14ac:dyDescent="0.2">
      <c r="A22" t="s">
        <v>14</v>
      </c>
      <c r="B22" t="s">
        <v>15</v>
      </c>
      <c r="C22" t="s">
        <v>29</v>
      </c>
      <c r="D22" t="s">
        <v>30</v>
      </c>
      <c r="E22" t="s">
        <v>18</v>
      </c>
      <c r="F22" t="s">
        <v>19</v>
      </c>
      <c r="G22">
        <v>5</v>
      </c>
      <c r="H22" t="s">
        <v>20</v>
      </c>
      <c r="I22" t="s">
        <v>21</v>
      </c>
      <c r="J22" t="s">
        <v>22</v>
      </c>
      <c r="K22">
        <v>5</v>
      </c>
      <c r="L22" t="s">
        <v>23</v>
      </c>
      <c r="M22" t="s">
        <v>31</v>
      </c>
      <c r="N22" t="s">
        <v>31</v>
      </c>
    </row>
    <row r="23" spans="1:14" x14ac:dyDescent="0.2">
      <c r="A23" t="s">
        <v>14</v>
      </c>
      <c r="B23" t="s">
        <v>15</v>
      </c>
      <c r="C23" t="s">
        <v>29</v>
      </c>
      <c r="D23" t="s">
        <v>30</v>
      </c>
      <c r="E23" t="s">
        <v>18</v>
      </c>
      <c r="F23" t="s">
        <v>19</v>
      </c>
      <c r="G23">
        <v>5</v>
      </c>
      <c r="H23" t="s">
        <v>20</v>
      </c>
      <c r="I23" t="s">
        <v>21</v>
      </c>
      <c r="J23" t="s">
        <v>22</v>
      </c>
      <c r="K23">
        <v>6</v>
      </c>
      <c r="L23" t="s">
        <v>25</v>
      </c>
      <c r="M23" t="s">
        <v>31</v>
      </c>
      <c r="N23" t="s">
        <v>31</v>
      </c>
    </row>
    <row r="24" spans="1:14" x14ac:dyDescent="0.2">
      <c r="A24" t="s">
        <v>14</v>
      </c>
      <c r="B24" t="s">
        <v>15</v>
      </c>
      <c r="C24" t="s">
        <v>29</v>
      </c>
      <c r="D24" t="s">
        <v>30</v>
      </c>
      <c r="E24" t="s">
        <v>18</v>
      </c>
      <c r="F24" t="s">
        <v>19</v>
      </c>
      <c r="G24">
        <v>5</v>
      </c>
      <c r="H24" t="s">
        <v>20</v>
      </c>
      <c r="I24" t="s">
        <v>21</v>
      </c>
      <c r="J24" t="s">
        <v>22</v>
      </c>
      <c r="K24">
        <v>7</v>
      </c>
      <c r="L24" t="s">
        <v>25</v>
      </c>
      <c r="M24" t="s">
        <v>31</v>
      </c>
      <c r="N24" t="s">
        <v>31</v>
      </c>
    </row>
    <row r="25" spans="1:14" x14ac:dyDescent="0.2">
      <c r="A25" t="s">
        <v>14</v>
      </c>
      <c r="B25" t="s">
        <v>15</v>
      </c>
      <c r="C25" t="s">
        <v>29</v>
      </c>
      <c r="D25" t="s">
        <v>30</v>
      </c>
      <c r="E25" t="s">
        <v>18</v>
      </c>
      <c r="F25" t="s">
        <v>19</v>
      </c>
      <c r="G25">
        <v>5</v>
      </c>
      <c r="H25" t="s">
        <v>20</v>
      </c>
      <c r="I25" t="s">
        <v>21</v>
      </c>
      <c r="J25" t="s">
        <v>22</v>
      </c>
      <c r="K25">
        <v>8</v>
      </c>
      <c r="L25" t="s">
        <v>25</v>
      </c>
      <c r="M25" t="s">
        <v>31</v>
      </c>
      <c r="N25" t="s">
        <v>31</v>
      </c>
    </row>
    <row r="26" spans="1:14" x14ac:dyDescent="0.2">
      <c r="A26" t="s">
        <v>14</v>
      </c>
      <c r="B26" t="s">
        <v>15</v>
      </c>
      <c r="C26" t="s">
        <v>32</v>
      </c>
      <c r="D26" t="s">
        <v>30</v>
      </c>
      <c r="E26" t="s">
        <v>33</v>
      </c>
      <c r="F26" t="s">
        <v>19</v>
      </c>
      <c r="G26">
        <v>5</v>
      </c>
      <c r="H26" t="s">
        <v>20</v>
      </c>
      <c r="I26" t="s">
        <v>21</v>
      </c>
      <c r="J26" t="s">
        <v>22</v>
      </c>
      <c r="K26">
        <v>1</v>
      </c>
      <c r="L26" t="s">
        <v>23</v>
      </c>
      <c r="M26" t="s">
        <v>34</v>
      </c>
      <c r="N26" t="s">
        <v>34</v>
      </c>
    </row>
    <row r="27" spans="1:14" x14ac:dyDescent="0.2">
      <c r="A27" t="s">
        <v>14</v>
      </c>
      <c r="B27" t="s">
        <v>15</v>
      </c>
      <c r="C27" t="s">
        <v>32</v>
      </c>
      <c r="D27" t="s">
        <v>30</v>
      </c>
      <c r="E27" t="s">
        <v>33</v>
      </c>
      <c r="F27" t="s">
        <v>19</v>
      </c>
      <c r="G27">
        <v>5</v>
      </c>
      <c r="H27" t="s">
        <v>20</v>
      </c>
      <c r="I27" t="s">
        <v>21</v>
      </c>
      <c r="J27" t="s">
        <v>22</v>
      </c>
      <c r="K27">
        <v>2</v>
      </c>
      <c r="L27" t="s">
        <v>23</v>
      </c>
      <c r="M27" t="s">
        <v>34</v>
      </c>
      <c r="N27" t="s">
        <v>34</v>
      </c>
    </row>
    <row r="28" spans="1:14" x14ac:dyDescent="0.2">
      <c r="A28" t="s">
        <v>14</v>
      </c>
      <c r="B28" t="s">
        <v>15</v>
      </c>
      <c r="C28" t="s">
        <v>32</v>
      </c>
      <c r="D28" t="s">
        <v>30</v>
      </c>
      <c r="E28" t="s">
        <v>33</v>
      </c>
      <c r="F28" t="s">
        <v>19</v>
      </c>
      <c r="G28">
        <v>5</v>
      </c>
      <c r="H28" t="s">
        <v>20</v>
      </c>
      <c r="I28" t="s">
        <v>21</v>
      </c>
      <c r="J28" t="s">
        <v>22</v>
      </c>
      <c r="K28">
        <v>3</v>
      </c>
      <c r="L28" t="s">
        <v>23</v>
      </c>
      <c r="M28" t="s">
        <v>34</v>
      </c>
      <c r="N28" t="s">
        <v>34</v>
      </c>
    </row>
    <row r="29" spans="1:14" x14ac:dyDescent="0.2">
      <c r="A29" t="s">
        <v>14</v>
      </c>
      <c r="B29" t="s">
        <v>15</v>
      </c>
      <c r="C29" t="s">
        <v>32</v>
      </c>
      <c r="D29" t="s">
        <v>30</v>
      </c>
      <c r="E29" t="s">
        <v>33</v>
      </c>
      <c r="F29" t="s">
        <v>19</v>
      </c>
      <c r="G29">
        <v>5</v>
      </c>
      <c r="H29" t="s">
        <v>20</v>
      </c>
      <c r="I29" t="s">
        <v>21</v>
      </c>
      <c r="J29" t="s">
        <v>22</v>
      </c>
      <c r="K29">
        <v>4</v>
      </c>
      <c r="L29" t="s">
        <v>23</v>
      </c>
      <c r="M29" t="s">
        <v>34</v>
      </c>
      <c r="N29" t="s">
        <v>34</v>
      </c>
    </row>
    <row r="30" spans="1:14" x14ac:dyDescent="0.2">
      <c r="A30" t="s">
        <v>14</v>
      </c>
      <c r="B30" t="s">
        <v>15</v>
      </c>
      <c r="C30" t="s">
        <v>32</v>
      </c>
      <c r="D30" t="s">
        <v>30</v>
      </c>
      <c r="E30" t="s">
        <v>33</v>
      </c>
      <c r="F30" t="s">
        <v>19</v>
      </c>
      <c r="G30">
        <v>5</v>
      </c>
      <c r="H30" t="s">
        <v>20</v>
      </c>
      <c r="I30" t="s">
        <v>21</v>
      </c>
      <c r="J30" t="s">
        <v>22</v>
      </c>
      <c r="K30">
        <v>5</v>
      </c>
      <c r="L30" t="s">
        <v>25</v>
      </c>
      <c r="M30" t="s">
        <v>34</v>
      </c>
      <c r="N30" t="s">
        <v>34</v>
      </c>
    </row>
    <row r="31" spans="1:14" x14ac:dyDescent="0.2">
      <c r="A31" t="s">
        <v>14</v>
      </c>
      <c r="B31" t="s">
        <v>15</v>
      </c>
      <c r="C31" t="s">
        <v>32</v>
      </c>
      <c r="D31" t="s">
        <v>30</v>
      </c>
      <c r="E31" t="s">
        <v>33</v>
      </c>
      <c r="F31" t="s">
        <v>19</v>
      </c>
      <c r="G31">
        <v>5</v>
      </c>
      <c r="H31" t="s">
        <v>20</v>
      </c>
      <c r="I31" t="s">
        <v>21</v>
      </c>
      <c r="J31" t="s">
        <v>22</v>
      </c>
      <c r="K31">
        <v>6</v>
      </c>
      <c r="L31" t="s">
        <v>25</v>
      </c>
      <c r="M31" t="s">
        <v>34</v>
      </c>
      <c r="N31" t="s">
        <v>34</v>
      </c>
    </row>
    <row r="32" spans="1:14" x14ac:dyDescent="0.2">
      <c r="A32" t="s">
        <v>14</v>
      </c>
      <c r="B32" t="s">
        <v>15</v>
      </c>
      <c r="C32" t="s">
        <v>35</v>
      </c>
      <c r="D32" t="s">
        <v>36</v>
      </c>
      <c r="E32" t="s">
        <v>33</v>
      </c>
      <c r="F32" t="s">
        <v>19</v>
      </c>
      <c r="G32">
        <v>5</v>
      </c>
      <c r="H32" t="s">
        <v>20</v>
      </c>
      <c r="I32" t="s">
        <v>21</v>
      </c>
      <c r="J32" t="s">
        <v>22</v>
      </c>
      <c r="K32">
        <v>1</v>
      </c>
      <c r="L32" t="s">
        <v>25</v>
      </c>
      <c r="M32" t="s">
        <v>37</v>
      </c>
      <c r="N32" t="s">
        <v>37</v>
      </c>
    </row>
    <row r="33" spans="1:14" x14ac:dyDescent="0.2">
      <c r="A33" t="s">
        <v>14</v>
      </c>
      <c r="B33" t="s">
        <v>15</v>
      </c>
      <c r="C33" t="s">
        <v>35</v>
      </c>
      <c r="D33" t="s">
        <v>36</v>
      </c>
      <c r="E33" t="s">
        <v>33</v>
      </c>
      <c r="F33" t="s">
        <v>19</v>
      </c>
      <c r="G33">
        <v>5</v>
      </c>
      <c r="H33" t="s">
        <v>20</v>
      </c>
      <c r="I33" t="s">
        <v>21</v>
      </c>
      <c r="J33" t="s">
        <v>22</v>
      </c>
      <c r="K33">
        <v>2</v>
      </c>
      <c r="L33" t="s">
        <v>23</v>
      </c>
      <c r="M33" t="s">
        <v>37</v>
      </c>
      <c r="N33" t="s">
        <v>37</v>
      </c>
    </row>
    <row r="34" spans="1:14" x14ac:dyDescent="0.2">
      <c r="A34" t="s">
        <v>14</v>
      </c>
      <c r="B34" t="s">
        <v>15</v>
      </c>
      <c r="C34" t="s">
        <v>35</v>
      </c>
      <c r="D34" t="s">
        <v>36</v>
      </c>
      <c r="E34" t="s">
        <v>33</v>
      </c>
      <c r="F34" t="s">
        <v>19</v>
      </c>
      <c r="G34">
        <v>5</v>
      </c>
      <c r="H34" t="s">
        <v>20</v>
      </c>
      <c r="I34" t="s">
        <v>21</v>
      </c>
      <c r="J34" t="s">
        <v>22</v>
      </c>
      <c r="K34">
        <v>3</v>
      </c>
      <c r="L34" t="s">
        <v>23</v>
      </c>
      <c r="M34" t="s">
        <v>37</v>
      </c>
      <c r="N34" t="s">
        <v>37</v>
      </c>
    </row>
    <row r="35" spans="1:14" x14ac:dyDescent="0.2">
      <c r="A35" t="s">
        <v>14</v>
      </c>
      <c r="B35" t="s">
        <v>15</v>
      </c>
      <c r="C35" t="s">
        <v>35</v>
      </c>
      <c r="D35" t="s">
        <v>36</v>
      </c>
      <c r="E35" t="s">
        <v>33</v>
      </c>
      <c r="F35" t="s">
        <v>19</v>
      </c>
      <c r="G35">
        <v>5</v>
      </c>
      <c r="H35" t="s">
        <v>20</v>
      </c>
      <c r="I35" t="s">
        <v>21</v>
      </c>
      <c r="J35" t="s">
        <v>22</v>
      </c>
      <c r="K35">
        <v>4</v>
      </c>
      <c r="L35" t="s">
        <v>23</v>
      </c>
      <c r="M35" t="s">
        <v>37</v>
      </c>
      <c r="N35" t="s">
        <v>37</v>
      </c>
    </row>
    <row r="36" spans="1:14" x14ac:dyDescent="0.2">
      <c r="A36" t="s">
        <v>14</v>
      </c>
      <c r="B36" t="s">
        <v>15</v>
      </c>
      <c r="C36" t="s">
        <v>35</v>
      </c>
      <c r="D36" t="s">
        <v>36</v>
      </c>
      <c r="E36" t="s">
        <v>33</v>
      </c>
      <c r="F36" t="s">
        <v>19</v>
      </c>
      <c r="G36">
        <v>5</v>
      </c>
      <c r="H36" t="s">
        <v>20</v>
      </c>
      <c r="I36" t="s">
        <v>21</v>
      </c>
      <c r="J36" t="s">
        <v>22</v>
      </c>
      <c r="K36">
        <v>5</v>
      </c>
      <c r="L36" t="s">
        <v>25</v>
      </c>
      <c r="M36" t="s">
        <v>37</v>
      </c>
      <c r="N36" t="s">
        <v>37</v>
      </c>
    </row>
    <row r="37" spans="1:14" x14ac:dyDescent="0.2">
      <c r="A37" t="s">
        <v>14</v>
      </c>
      <c r="B37" t="s">
        <v>15</v>
      </c>
      <c r="C37" t="s">
        <v>35</v>
      </c>
      <c r="D37" t="s">
        <v>36</v>
      </c>
      <c r="E37" t="s">
        <v>33</v>
      </c>
      <c r="F37" t="s">
        <v>19</v>
      </c>
      <c r="G37">
        <v>5</v>
      </c>
      <c r="H37" t="s">
        <v>20</v>
      </c>
      <c r="I37" t="s">
        <v>21</v>
      </c>
      <c r="J37" t="s">
        <v>22</v>
      </c>
      <c r="K37">
        <v>6</v>
      </c>
      <c r="L37" t="s">
        <v>23</v>
      </c>
      <c r="M37" t="s">
        <v>37</v>
      </c>
      <c r="N37" t="s">
        <v>37</v>
      </c>
    </row>
    <row r="38" spans="1:14" x14ac:dyDescent="0.2">
      <c r="A38" t="s">
        <v>14</v>
      </c>
      <c r="B38" t="s">
        <v>15</v>
      </c>
      <c r="C38" t="s">
        <v>35</v>
      </c>
      <c r="D38" t="s">
        <v>36</v>
      </c>
      <c r="E38" t="s">
        <v>33</v>
      </c>
      <c r="F38" t="s">
        <v>19</v>
      </c>
      <c r="G38">
        <v>5</v>
      </c>
      <c r="H38" t="s">
        <v>20</v>
      </c>
      <c r="I38" t="s">
        <v>21</v>
      </c>
      <c r="J38" t="s">
        <v>22</v>
      </c>
      <c r="K38">
        <v>7</v>
      </c>
      <c r="L38" t="s">
        <v>25</v>
      </c>
      <c r="M38" t="s">
        <v>37</v>
      </c>
      <c r="N38" t="s">
        <v>37</v>
      </c>
    </row>
    <row r="39" spans="1:14" x14ac:dyDescent="0.2">
      <c r="A39" t="s">
        <v>14</v>
      </c>
      <c r="B39" t="s">
        <v>15</v>
      </c>
      <c r="C39" t="s">
        <v>35</v>
      </c>
      <c r="D39" t="s">
        <v>36</v>
      </c>
      <c r="E39" t="s">
        <v>33</v>
      </c>
      <c r="F39" t="s">
        <v>19</v>
      </c>
      <c r="G39">
        <v>5</v>
      </c>
      <c r="H39" t="s">
        <v>20</v>
      </c>
      <c r="I39" t="s">
        <v>21</v>
      </c>
      <c r="J39" t="s">
        <v>22</v>
      </c>
      <c r="K39">
        <v>8</v>
      </c>
      <c r="L39" t="s">
        <v>25</v>
      </c>
      <c r="M39" t="s">
        <v>37</v>
      </c>
      <c r="N39" t="s">
        <v>37</v>
      </c>
    </row>
    <row r="40" spans="1:14" x14ac:dyDescent="0.2">
      <c r="A40" t="s">
        <v>14</v>
      </c>
      <c r="B40" t="s">
        <v>15</v>
      </c>
      <c r="C40" t="s">
        <v>38</v>
      </c>
      <c r="D40" t="s">
        <v>39</v>
      </c>
      <c r="E40" t="s">
        <v>40</v>
      </c>
      <c r="F40" t="s">
        <v>19</v>
      </c>
      <c r="G40">
        <v>5</v>
      </c>
      <c r="H40" t="s">
        <v>20</v>
      </c>
      <c r="I40" t="s">
        <v>21</v>
      </c>
      <c r="J40" t="s">
        <v>22</v>
      </c>
      <c r="K40">
        <v>1</v>
      </c>
      <c r="L40" t="s">
        <v>23</v>
      </c>
      <c r="M40" t="s">
        <v>24</v>
      </c>
      <c r="N40" t="s">
        <v>24</v>
      </c>
    </row>
    <row r="41" spans="1:14" x14ac:dyDescent="0.2">
      <c r="A41" t="s">
        <v>14</v>
      </c>
      <c r="B41" t="s">
        <v>15</v>
      </c>
      <c r="C41" t="s">
        <v>38</v>
      </c>
      <c r="D41" t="s">
        <v>39</v>
      </c>
      <c r="E41" t="s">
        <v>40</v>
      </c>
      <c r="F41" t="s">
        <v>19</v>
      </c>
      <c r="G41">
        <v>5</v>
      </c>
      <c r="H41" t="s">
        <v>20</v>
      </c>
      <c r="I41" t="s">
        <v>21</v>
      </c>
      <c r="J41" t="s">
        <v>22</v>
      </c>
      <c r="K41">
        <v>2</v>
      </c>
      <c r="L41" t="s">
        <v>25</v>
      </c>
      <c r="M41" t="s">
        <v>24</v>
      </c>
      <c r="N41" t="s">
        <v>24</v>
      </c>
    </row>
    <row r="42" spans="1:14" x14ac:dyDescent="0.2">
      <c r="A42" t="s">
        <v>14</v>
      </c>
      <c r="B42" t="s">
        <v>15</v>
      </c>
      <c r="C42" t="s">
        <v>38</v>
      </c>
      <c r="D42" t="s">
        <v>39</v>
      </c>
      <c r="E42" t="s">
        <v>40</v>
      </c>
      <c r="F42" t="s">
        <v>19</v>
      </c>
      <c r="G42">
        <v>5</v>
      </c>
      <c r="H42" t="s">
        <v>20</v>
      </c>
      <c r="I42" t="s">
        <v>21</v>
      </c>
      <c r="J42" t="s">
        <v>22</v>
      </c>
      <c r="K42">
        <v>3</v>
      </c>
      <c r="L42" t="s">
        <v>25</v>
      </c>
      <c r="M42" t="s">
        <v>24</v>
      </c>
      <c r="N42" t="s">
        <v>24</v>
      </c>
    </row>
    <row r="43" spans="1:14" x14ac:dyDescent="0.2">
      <c r="A43" t="s">
        <v>14</v>
      </c>
      <c r="B43" t="s">
        <v>15</v>
      </c>
      <c r="C43" t="s">
        <v>38</v>
      </c>
      <c r="D43" t="s">
        <v>39</v>
      </c>
      <c r="E43" t="s">
        <v>40</v>
      </c>
      <c r="F43" t="s">
        <v>19</v>
      </c>
      <c r="G43">
        <v>5</v>
      </c>
      <c r="H43" t="s">
        <v>20</v>
      </c>
      <c r="I43" t="s">
        <v>21</v>
      </c>
      <c r="J43" t="s">
        <v>22</v>
      </c>
      <c r="K43">
        <v>4</v>
      </c>
      <c r="L43" t="s">
        <v>23</v>
      </c>
      <c r="M43" t="s">
        <v>24</v>
      </c>
      <c r="N43" t="s">
        <v>24</v>
      </c>
    </row>
    <row r="44" spans="1:14" x14ac:dyDescent="0.2">
      <c r="A44" t="s">
        <v>14</v>
      </c>
      <c r="B44" t="s">
        <v>15</v>
      </c>
      <c r="C44" t="s">
        <v>38</v>
      </c>
      <c r="D44" t="s">
        <v>39</v>
      </c>
      <c r="E44" t="s">
        <v>40</v>
      </c>
      <c r="F44" t="s">
        <v>19</v>
      </c>
      <c r="G44">
        <v>5</v>
      </c>
      <c r="H44" t="s">
        <v>20</v>
      </c>
      <c r="I44" t="s">
        <v>21</v>
      </c>
      <c r="J44" t="s">
        <v>22</v>
      </c>
      <c r="K44">
        <v>5</v>
      </c>
      <c r="L44" t="s">
        <v>25</v>
      </c>
      <c r="M44" t="s">
        <v>24</v>
      </c>
      <c r="N44" t="s">
        <v>24</v>
      </c>
    </row>
    <row r="45" spans="1:14" x14ac:dyDescent="0.2">
      <c r="A45" t="s">
        <v>14</v>
      </c>
      <c r="B45" t="s">
        <v>15</v>
      </c>
      <c r="C45" t="s">
        <v>38</v>
      </c>
      <c r="D45" t="s">
        <v>39</v>
      </c>
      <c r="E45" t="s">
        <v>40</v>
      </c>
      <c r="F45" t="s">
        <v>19</v>
      </c>
      <c r="G45">
        <v>5</v>
      </c>
      <c r="H45" t="s">
        <v>20</v>
      </c>
      <c r="I45" t="s">
        <v>21</v>
      </c>
      <c r="J45" t="s">
        <v>22</v>
      </c>
      <c r="K45">
        <v>6</v>
      </c>
      <c r="L45" t="s">
        <v>25</v>
      </c>
      <c r="M45" t="s">
        <v>24</v>
      </c>
      <c r="N45" t="s">
        <v>24</v>
      </c>
    </row>
    <row r="46" spans="1:14" x14ac:dyDescent="0.2">
      <c r="A46" t="s">
        <v>14</v>
      </c>
      <c r="B46" t="s">
        <v>15</v>
      </c>
      <c r="C46" t="s">
        <v>38</v>
      </c>
      <c r="D46" t="s">
        <v>39</v>
      </c>
      <c r="E46" t="s">
        <v>40</v>
      </c>
      <c r="F46" t="s">
        <v>19</v>
      </c>
      <c r="G46">
        <v>5</v>
      </c>
      <c r="H46" t="s">
        <v>20</v>
      </c>
      <c r="I46" t="s">
        <v>21</v>
      </c>
      <c r="J46" t="s">
        <v>22</v>
      </c>
      <c r="K46">
        <v>7</v>
      </c>
      <c r="L46" t="s">
        <v>25</v>
      </c>
      <c r="M46" t="s">
        <v>24</v>
      </c>
      <c r="N46" t="s">
        <v>24</v>
      </c>
    </row>
    <row r="47" spans="1:14" x14ac:dyDescent="0.2">
      <c r="A47" t="s">
        <v>14</v>
      </c>
      <c r="B47" t="s">
        <v>15</v>
      </c>
      <c r="C47" t="s">
        <v>41</v>
      </c>
      <c r="D47" t="s">
        <v>42</v>
      </c>
      <c r="E47" t="s">
        <v>43</v>
      </c>
      <c r="F47" t="s">
        <v>19</v>
      </c>
      <c r="G47">
        <v>5</v>
      </c>
      <c r="H47" t="s">
        <v>20</v>
      </c>
      <c r="I47" t="s">
        <v>21</v>
      </c>
      <c r="J47" t="s">
        <v>22</v>
      </c>
      <c r="K47">
        <v>1</v>
      </c>
      <c r="L47" t="s">
        <v>25</v>
      </c>
      <c r="M47" t="s">
        <v>44</v>
      </c>
      <c r="N47" t="s">
        <v>44</v>
      </c>
    </row>
    <row r="48" spans="1:14" x14ac:dyDescent="0.2">
      <c r="A48" t="s">
        <v>14</v>
      </c>
      <c r="B48" t="s">
        <v>15</v>
      </c>
      <c r="C48" t="s">
        <v>41</v>
      </c>
      <c r="D48" t="s">
        <v>42</v>
      </c>
      <c r="E48" t="s">
        <v>43</v>
      </c>
      <c r="F48" t="s">
        <v>19</v>
      </c>
      <c r="G48">
        <v>5</v>
      </c>
      <c r="H48" t="s">
        <v>20</v>
      </c>
      <c r="I48" t="s">
        <v>21</v>
      </c>
      <c r="J48" t="s">
        <v>22</v>
      </c>
      <c r="K48">
        <v>2</v>
      </c>
      <c r="L48" t="s">
        <v>25</v>
      </c>
      <c r="M48" t="s">
        <v>44</v>
      </c>
      <c r="N48" t="s">
        <v>44</v>
      </c>
    </row>
    <row r="49" spans="1:14" x14ac:dyDescent="0.2">
      <c r="A49" t="s">
        <v>14</v>
      </c>
      <c r="B49" t="s">
        <v>15</v>
      </c>
      <c r="C49" t="s">
        <v>41</v>
      </c>
      <c r="D49" t="s">
        <v>42</v>
      </c>
      <c r="E49" t="s">
        <v>43</v>
      </c>
      <c r="F49" t="s">
        <v>19</v>
      </c>
      <c r="G49">
        <v>5</v>
      </c>
      <c r="H49" t="s">
        <v>20</v>
      </c>
      <c r="I49" t="s">
        <v>21</v>
      </c>
      <c r="J49" t="s">
        <v>22</v>
      </c>
      <c r="K49">
        <v>3</v>
      </c>
      <c r="L49" t="s">
        <v>25</v>
      </c>
      <c r="M49" t="s">
        <v>44</v>
      </c>
      <c r="N49" t="s">
        <v>44</v>
      </c>
    </row>
    <row r="50" spans="1:14" x14ac:dyDescent="0.2">
      <c r="A50" t="s">
        <v>14</v>
      </c>
      <c r="B50" t="s">
        <v>15</v>
      </c>
      <c r="C50" t="s">
        <v>41</v>
      </c>
      <c r="D50" t="s">
        <v>42</v>
      </c>
      <c r="E50" t="s">
        <v>43</v>
      </c>
      <c r="F50" t="s">
        <v>19</v>
      </c>
      <c r="G50">
        <v>5</v>
      </c>
      <c r="H50" t="s">
        <v>20</v>
      </c>
      <c r="I50" t="s">
        <v>21</v>
      </c>
      <c r="J50" t="s">
        <v>22</v>
      </c>
      <c r="K50">
        <v>4</v>
      </c>
      <c r="L50" t="s">
        <v>25</v>
      </c>
      <c r="M50" t="s">
        <v>44</v>
      </c>
      <c r="N50" t="s">
        <v>44</v>
      </c>
    </row>
    <row r="51" spans="1:14" x14ac:dyDescent="0.2">
      <c r="A51" t="s">
        <v>14</v>
      </c>
      <c r="B51" t="s">
        <v>15</v>
      </c>
      <c r="C51" t="s">
        <v>41</v>
      </c>
      <c r="D51" t="s">
        <v>42</v>
      </c>
      <c r="E51" t="s">
        <v>43</v>
      </c>
      <c r="F51" t="s">
        <v>19</v>
      </c>
      <c r="G51">
        <v>5</v>
      </c>
      <c r="H51" t="s">
        <v>20</v>
      </c>
      <c r="I51" t="s">
        <v>21</v>
      </c>
      <c r="J51" t="s">
        <v>22</v>
      </c>
      <c r="K51">
        <v>5</v>
      </c>
      <c r="L51" t="s">
        <v>23</v>
      </c>
      <c r="M51" t="s">
        <v>44</v>
      </c>
      <c r="N51" t="s">
        <v>44</v>
      </c>
    </row>
    <row r="52" spans="1:14" x14ac:dyDescent="0.2">
      <c r="A52" t="s">
        <v>14</v>
      </c>
      <c r="B52" t="s">
        <v>15</v>
      </c>
      <c r="C52" t="s">
        <v>41</v>
      </c>
      <c r="D52" t="s">
        <v>42</v>
      </c>
      <c r="E52" t="s">
        <v>43</v>
      </c>
      <c r="F52" t="s">
        <v>19</v>
      </c>
      <c r="G52">
        <v>5</v>
      </c>
      <c r="H52" t="s">
        <v>20</v>
      </c>
      <c r="I52" t="s">
        <v>21</v>
      </c>
      <c r="J52" t="s">
        <v>22</v>
      </c>
      <c r="K52">
        <v>6</v>
      </c>
      <c r="L52" t="s">
        <v>25</v>
      </c>
      <c r="M52" t="s">
        <v>44</v>
      </c>
      <c r="N52" t="s">
        <v>44</v>
      </c>
    </row>
    <row r="53" spans="1:14" x14ac:dyDescent="0.2">
      <c r="A53" t="s">
        <v>14</v>
      </c>
      <c r="B53" t="s">
        <v>15</v>
      </c>
      <c r="C53" t="s">
        <v>41</v>
      </c>
      <c r="D53" t="s">
        <v>42</v>
      </c>
      <c r="E53" t="s">
        <v>43</v>
      </c>
      <c r="F53" t="s">
        <v>19</v>
      </c>
      <c r="G53">
        <v>5</v>
      </c>
      <c r="H53" t="s">
        <v>20</v>
      </c>
      <c r="I53" t="s">
        <v>21</v>
      </c>
      <c r="J53" t="s">
        <v>22</v>
      </c>
      <c r="K53">
        <v>7</v>
      </c>
      <c r="L53" t="s">
        <v>25</v>
      </c>
      <c r="M53" t="s">
        <v>44</v>
      </c>
      <c r="N53" t="s">
        <v>44</v>
      </c>
    </row>
    <row r="54" spans="1:14" x14ac:dyDescent="0.2">
      <c r="A54" t="s">
        <v>14</v>
      </c>
      <c r="B54" t="s">
        <v>15</v>
      </c>
      <c r="C54" t="s">
        <v>45</v>
      </c>
      <c r="D54" t="s">
        <v>30</v>
      </c>
      <c r="E54" t="s">
        <v>40</v>
      </c>
      <c r="F54" t="s">
        <v>19</v>
      </c>
      <c r="G54">
        <v>5</v>
      </c>
      <c r="H54" t="s">
        <v>20</v>
      </c>
      <c r="I54" t="s">
        <v>21</v>
      </c>
      <c r="J54" t="s">
        <v>22</v>
      </c>
      <c r="K54">
        <v>1</v>
      </c>
      <c r="L54" t="s">
        <v>25</v>
      </c>
      <c r="M54" t="s">
        <v>46</v>
      </c>
      <c r="N54" t="s">
        <v>46</v>
      </c>
    </row>
    <row r="55" spans="1:14" x14ac:dyDescent="0.2">
      <c r="A55" t="s">
        <v>14</v>
      </c>
      <c r="B55" t="s">
        <v>15</v>
      </c>
      <c r="C55" t="s">
        <v>45</v>
      </c>
      <c r="D55" t="s">
        <v>30</v>
      </c>
      <c r="E55" t="s">
        <v>40</v>
      </c>
      <c r="F55" t="s">
        <v>19</v>
      </c>
      <c r="G55">
        <v>5</v>
      </c>
      <c r="H55" t="s">
        <v>20</v>
      </c>
      <c r="I55" t="s">
        <v>21</v>
      </c>
      <c r="J55" t="s">
        <v>22</v>
      </c>
      <c r="K55">
        <v>2</v>
      </c>
      <c r="L55" t="s">
        <v>25</v>
      </c>
      <c r="M55" t="s">
        <v>46</v>
      </c>
      <c r="N55" t="s">
        <v>46</v>
      </c>
    </row>
    <row r="56" spans="1:14" x14ac:dyDescent="0.2">
      <c r="A56" t="s">
        <v>14</v>
      </c>
      <c r="B56" t="s">
        <v>15</v>
      </c>
      <c r="C56" t="s">
        <v>45</v>
      </c>
      <c r="D56" t="s">
        <v>30</v>
      </c>
      <c r="E56" t="s">
        <v>40</v>
      </c>
      <c r="F56" t="s">
        <v>19</v>
      </c>
      <c r="G56">
        <v>5</v>
      </c>
      <c r="H56" t="s">
        <v>20</v>
      </c>
      <c r="I56" t="s">
        <v>21</v>
      </c>
      <c r="J56" t="s">
        <v>22</v>
      </c>
      <c r="K56">
        <v>3</v>
      </c>
      <c r="L56" t="s">
        <v>23</v>
      </c>
      <c r="M56" t="s">
        <v>46</v>
      </c>
      <c r="N56" t="s">
        <v>46</v>
      </c>
    </row>
    <row r="57" spans="1:14" x14ac:dyDescent="0.2">
      <c r="A57" t="s">
        <v>14</v>
      </c>
      <c r="B57" t="s">
        <v>15</v>
      </c>
      <c r="C57" t="s">
        <v>45</v>
      </c>
      <c r="D57" t="s">
        <v>30</v>
      </c>
      <c r="E57" t="s">
        <v>40</v>
      </c>
      <c r="F57" t="s">
        <v>19</v>
      </c>
      <c r="G57">
        <v>5</v>
      </c>
      <c r="H57" t="s">
        <v>20</v>
      </c>
      <c r="I57" t="s">
        <v>21</v>
      </c>
      <c r="J57" t="s">
        <v>22</v>
      </c>
      <c r="K57">
        <v>4</v>
      </c>
      <c r="L57" t="s">
        <v>25</v>
      </c>
      <c r="M57" t="s">
        <v>46</v>
      </c>
      <c r="N57" t="s">
        <v>46</v>
      </c>
    </row>
    <row r="58" spans="1:14" x14ac:dyDescent="0.2">
      <c r="A58" t="s">
        <v>14</v>
      </c>
      <c r="B58" t="s">
        <v>15</v>
      </c>
      <c r="C58" t="s">
        <v>45</v>
      </c>
      <c r="D58" t="s">
        <v>30</v>
      </c>
      <c r="E58" t="s">
        <v>40</v>
      </c>
      <c r="F58" t="s">
        <v>19</v>
      </c>
      <c r="G58">
        <v>5</v>
      </c>
      <c r="H58" t="s">
        <v>20</v>
      </c>
      <c r="I58" t="s">
        <v>21</v>
      </c>
      <c r="J58" t="s">
        <v>22</v>
      </c>
      <c r="K58">
        <v>5</v>
      </c>
      <c r="L58" t="s">
        <v>25</v>
      </c>
      <c r="M58" t="s">
        <v>46</v>
      </c>
      <c r="N58" t="s">
        <v>46</v>
      </c>
    </row>
    <row r="59" spans="1:14" x14ac:dyDescent="0.2">
      <c r="A59" t="s">
        <v>14</v>
      </c>
      <c r="B59" t="s">
        <v>15</v>
      </c>
      <c r="C59" t="s">
        <v>45</v>
      </c>
      <c r="D59" t="s">
        <v>30</v>
      </c>
      <c r="E59" t="s">
        <v>40</v>
      </c>
      <c r="F59" t="s">
        <v>19</v>
      </c>
      <c r="G59">
        <v>5</v>
      </c>
      <c r="H59" t="s">
        <v>20</v>
      </c>
      <c r="I59" t="s">
        <v>21</v>
      </c>
      <c r="J59" t="s">
        <v>22</v>
      </c>
      <c r="K59">
        <v>6</v>
      </c>
      <c r="L59" t="s">
        <v>25</v>
      </c>
      <c r="M59" t="s">
        <v>46</v>
      </c>
      <c r="N59" t="s">
        <v>46</v>
      </c>
    </row>
    <row r="60" spans="1:14" x14ac:dyDescent="0.2">
      <c r="A60" t="s">
        <v>14</v>
      </c>
      <c r="B60" t="s">
        <v>15</v>
      </c>
      <c r="C60" t="s">
        <v>45</v>
      </c>
      <c r="D60" t="s">
        <v>30</v>
      </c>
      <c r="E60" t="s">
        <v>40</v>
      </c>
      <c r="F60" t="s">
        <v>19</v>
      </c>
      <c r="G60">
        <v>5</v>
      </c>
      <c r="H60" t="s">
        <v>20</v>
      </c>
      <c r="I60" t="s">
        <v>21</v>
      </c>
      <c r="J60" t="s">
        <v>22</v>
      </c>
      <c r="K60">
        <v>7</v>
      </c>
      <c r="L60" t="s">
        <v>23</v>
      </c>
      <c r="M60" t="s">
        <v>46</v>
      </c>
      <c r="N60" t="s">
        <v>46</v>
      </c>
    </row>
    <row r="61" spans="1:14" x14ac:dyDescent="0.2">
      <c r="A61" t="s">
        <v>14</v>
      </c>
      <c r="B61" t="s">
        <v>15</v>
      </c>
      <c r="C61" t="s">
        <v>45</v>
      </c>
      <c r="D61" t="s">
        <v>30</v>
      </c>
      <c r="E61" t="s">
        <v>40</v>
      </c>
      <c r="F61" t="s">
        <v>19</v>
      </c>
      <c r="G61">
        <v>5</v>
      </c>
      <c r="H61" t="s">
        <v>20</v>
      </c>
      <c r="I61" t="s">
        <v>21</v>
      </c>
      <c r="J61" t="s">
        <v>22</v>
      </c>
      <c r="K61">
        <v>8</v>
      </c>
      <c r="L61" t="s">
        <v>25</v>
      </c>
      <c r="M61" t="s">
        <v>46</v>
      </c>
      <c r="N61" t="s">
        <v>46</v>
      </c>
    </row>
    <row r="62" spans="1:14" x14ac:dyDescent="0.2">
      <c r="A62" t="s">
        <v>14</v>
      </c>
      <c r="B62" t="s">
        <v>15</v>
      </c>
      <c r="C62" t="s">
        <v>45</v>
      </c>
      <c r="D62" t="s">
        <v>30</v>
      </c>
      <c r="E62" t="s">
        <v>40</v>
      </c>
      <c r="F62" t="s">
        <v>19</v>
      </c>
      <c r="G62">
        <v>5</v>
      </c>
      <c r="H62" t="s">
        <v>20</v>
      </c>
      <c r="I62" t="s">
        <v>21</v>
      </c>
      <c r="J62" t="s">
        <v>22</v>
      </c>
      <c r="K62">
        <v>9</v>
      </c>
      <c r="L62" t="s">
        <v>23</v>
      </c>
      <c r="M62" t="s">
        <v>46</v>
      </c>
      <c r="N62" t="s">
        <v>46</v>
      </c>
    </row>
    <row r="63" spans="1:14" x14ac:dyDescent="0.2">
      <c r="A63" t="s">
        <v>14</v>
      </c>
      <c r="B63" t="s">
        <v>15</v>
      </c>
      <c r="C63" t="s">
        <v>45</v>
      </c>
      <c r="D63" t="s">
        <v>30</v>
      </c>
      <c r="E63" t="s">
        <v>40</v>
      </c>
      <c r="F63" t="s">
        <v>19</v>
      </c>
      <c r="G63">
        <v>5</v>
      </c>
      <c r="H63" t="s">
        <v>20</v>
      </c>
      <c r="I63" t="s">
        <v>21</v>
      </c>
      <c r="J63" t="s">
        <v>22</v>
      </c>
      <c r="K63">
        <v>10</v>
      </c>
      <c r="L63" t="s">
        <v>23</v>
      </c>
      <c r="M63" t="s">
        <v>46</v>
      </c>
      <c r="N63" t="s">
        <v>46</v>
      </c>
    </row>
    <row r="64" spans="1:14" x14ac:dyDescent="0.2">
      <c r="A64" t="s">
        <v>14</v>
      </c>
      <c r="B64" t="s">
        <v>15</v>
      </c>
      <c r="C64" t="s">
        <v>45</v>
      </c>
      <c r="D64" t="s">
        <v>30</v>
      </c>
      <c r="E64" t="s">
        <v>40</v>
      </c>
      <c r="F64" t="s">
        <v>19</v>
      </c>
      <c r="G64">
        <v>5</v>
      </c>
      <c r="H64" t="s">
        <v>20</v>
      </c>
      <c r="I64" t="s">
        <v>21</v>
      </c>
      <c r="J64" t="s">
        <v>22</v>
      </c>
      <c r="K64">
        <v>11</v>
      </c>
      <c r="L64" t="s">
        <v>25</v>
      </c>
      <c r="M64" t="s">
        <v>46</v>
      </c>
      <c r="N64" t="s">
        <v>46</v>
      </c>
    </row>
    <row r="65" spans="1:14" x14ac:dyDescent="0.2">
      <c r="A65" t="s">
        <v>14</v>
      </c>
      <c r="B65" t="s">
        <v>15</v>
      </c>
      <c r="C65" t="s">
        <v>45</v>
      </c>
      <c r="D65" t="s">
        <v>30</v>
      </c>
      <c r="E65" t="s">
        <v>40</v>
      </c>
      <c r="F65" t="s">
        <v>19</v>
      </c>
      <c r="G65">
        <v>5</v>
      </c>
      <c r="H65" t="s">
        <v>20</v>
      </c>
      <c r="I65" t="s">
        <v>21</v>
      </c>
      <c r="J65" t="s">
        <v>22</v>
      </c>
      <c r="K65">
        <v>12</v>
      </c>
      <c r="L65" t="s">
        <v>23</v>
      </c>
      <c r="M65" t="s">
        <v>46</v>
      </c>
      <c r="N65" t="s">
        <v>46</v>
      </c>
    </row>
    <row r="66" spans="1:14" x14ac:dyDescent="0.2">
      <c r="A66" t="s">
        <v>14</v>
      </c>
      <c r="B66" t="s">
        <v>15</v>
      </c>
      <c r="C66" t="s">
        <v>47</v>
      </c>
      <c r="D66" t="s">
        <v>30</v>
      </c>
      <c r="E66" t="s">
        <v>33</v>
      </c>
      <c r="F66" t="s">
        <v>19</v>
      </c>
      <c r="G66">
        <v>5</v>
      </c>
      <c r="H66" t="s">
        <v>20</v>
      </c>
      <c r="I66" t="s">
        <v>21</v>
      </c>
      <c r="J66" t="s">
        <v>22</v>
      </c>
      <c r="K66">
        <v>1</v>
      </c>
      <c r="L66" t="s">
        <v>25</v>
      </c>
      <c r="M66" t="s">
        <v>37</v>
      </c>
      <c r="N66" t="s">
        <v>37</v>
      </c>
    </row>
    <row r="67" spans="1:14" x14ac:dyDescent="0.2">
      <c r="A67" t="s">
        <v>14</v>
      </c>
      <c r="B67" t="s">
        <v>15</v>
      </c>
      <c r="C67" t="s">
        <v>47</v>
      </c>
      <c r="D67" t="s">
        <v>30</v>
      </c>
      <c r="E67" t="s">
        <v>33</v>
      </c>
      <c r="F67" t="s">
        <v>19</v>
      </c>
      <c r="G67">
        <v>5</v>
      </c>
      <c r="H67" t="s">
        <v>20</v>
      </c>
      <c r="I67" t="s">
        <v>21</v>
      </c>
      <c r="J67" t="s">
        <v>22</v>
      </c>
      <c r="K67">
        <v>2</v>
      </c>
      <c r="L67" t="s">
        <v>23</v>
      </c>
      <c r="M67" t="s">
        <v>37</v>
      </c>
      <c r="N67" t="s">
        <v>37</v>
      </c>
    </row>
    <row r="68" spans="1:14" x14ac:dyDescent="0.2">
      <c r="A68" t="s">
        <v>14</v>
      </c>
      <c r="B68" t="s">
        <v>15</v>
      </c>
      <c r="C68" t="s">
        <v>47</v>
      </c>
      <c r="D68" t="s">
        <v>30</v>
      </c>
      <c r="E68" t="s">
        <v>33</v>
      </c>
      <c r="F68" t="s">
        <v>19</v>
      </c>
      <c r="G68">
        <v>5</v>
      </c>
      <c r="H68" t="s">
        <v>20</v>
      </c>
      <c r="I68" t="s">
        <v>21</v>
      </c>
      <c r="J68" t="s">
        <v>22</v>
      </c>
      <c r="K68">
        <v>3</v>
      </c>
      <c r="L68" t="s">
        <v>23</v>
      </c>
      <c r="M68" t="s">
        <v>37</v>
      </c>
      <c r="N68" t="s">
        <v>37</v>
      </c>
    </row>
    <row r="69" spans="1:14" x14ac:dyDescent="0.2">
      <c r="A69" t="s">
        <v>14</v>
      </c>
      <c r="B69" t="s">
        <v>15</v>
      </c>
      <c r="C69" t="s">
        <v>47</v>
      </c>
      <c r="D69" t="s">
        <v>30</v>
      </c>
      <c r="E69" t="s">
        <v>33</v>
      </c>
      <c r="F69" t="s">
        <v>19</v>
      </c>
      <c r="G69">
        <v>5</v>
      </c>
      <c r="H69" t="s">
        <v>20</v>
      </c>
      <c r="I69" t="s">
        <v>21</v>
      </c>
      <c r="J69" t="s">
        <v>22</v>
      </c>
      <c r="K69">
        <v>4</v>
      </c>
      <c r="L69" t="s">
        <v>25</v>
      </c>
      <c r="M69" t="s">
        <v>37</v>
      </c>
      <c r="N69" t="s">
        <v>37</v>
      </c>
    </row>
    <row r="70" spans="1:14" x14ac:dyDescent="0.2">
      <c r="A70" t="s">
        <v>14</v>
      </c>
      <c r="B70" t="s">
        <v>15</v>
      </c>
      <c r="C70" t="s">
        <v>47</v>
      </c>
      <c r="D70" t="s">
        <v>30</v>
      </c>
      <c r="E70" t="s">
        <v>33</v>
      </c>
      <c r="F70" t="s">
        <v>19</v>
      </c>
      <c r="G70">
        <v>5</v>
      </c>
      <c r="H70" t="s">
        <v>20</v>
      </c>
      <c r="I70" t="s">
        <v>21</v>
      </c>
      <c r="J70" t="s">
        <v>22</v>
      </c>
      <c r="K70">
        <v>5</v>
      </c>
      <c r="L70" t="s">
        <v>25</v>
      </c>
      <c r="M70" t="s">
        <v>37</v>
      </c>
      <c r="N70" t="s">
        <v>37</v>
      </c>
    </row>
    <row r="71" spans="1:14" x14ac:dyDescent="0.2">
      <c r="A71" t="s">
        <v>14</v>
      </c>
      <c r="B71" t="s">
        <v>15</v>
      </c>
      <c r="C71" t="s">
        <v>47</v>
      </c>
      <c r="D71" t="s">
        <v>30</v>
      </c>
      <c r="E71" t="s">
        <v>33</v>
      </c>
      <c r="F71" t="s">
        <v>19</v>
      </c>
      <c r="G71">
        <v>5</v>
      </c>
      <c r="H71" t="s">
        <v>20</v>
      </c>
      <c r="I71" t="s">
        <v>21</v>
      </c>
      <c r="J71" t="s">
        <v>22</v>
      </c>
      <c r="K71">
        <v>6</v>
      </c>
      <c r="L71" t="s">
        <v>25</v>
      </c>
      <c r="M71" t="s">
        <v>37</v>
      </c>
      <c r="N71" t="s">
        <v>37</v>
      </c>
    </row>
    <row r="72" spans="1:14" x14ac:dyDescent="0.2">
      <c r="A72" t="s">
        <v>14</v>
      </c>
      <c r="B72" t="s">
        <v>15</v>
      </c>
      <c r="C72" t="s">
        <v>47</v>
      </c>
      <c r="D72" t="s">
        <v>30</v>
      </c>
      <c r="E72" t="s">
        <v>33</v>
      </c>
      <c r="F72" t="s">
        <v>19</v>
      </c>
      <c r="G72">
        <v>5</v>
      </c>
      <c r="H72" t="s">
        <v>20</v>
      </c>
      <c r="I72" t="s">
        <v>21</v>
      </c>
      <c r="J72" t="s">
        <v>22</v>
      </c>
      <c r="K72">
        <v>7</v>
      </c>
      <c r="L72" t="s">
        <v>23</v>
      </c>
      <c r="M72" t="s">
        <v>37</v>
      </c>
      <c r="N72" t="s">
        <v>37</v>
      </c>
    </row>
    <row r="73" spans="1:14" x14ac:dyDescent="0.2">
      <c r="A73" t="s">
        <v>14</v>
      </c>
      <c r="B73" t="s">
        <v>15</v>
      </c>
      <c r="C73" t="s">
        <v>47</v>
      </c>
      <c r="D73" t="s">
        <v>30</v>
      </c>
      <c r="E73" t="s">
        <v>33</v>
      </c>
      <c r="F73" t="s">
        <v>19</v>
      </c>
      <c r="G73">
        <v>5</v>
      </c>
      <c r="H73" t="s">
        <v>20</v>
      </c>
      <c r="I73" t="s">
        <v>21</v>
      </c>
      <c r="J73" t="s">
        <v>22</v>
      </c>
      <c r="K73">
        <v>8</v>
      </c>
      <c r="L73" t="s">
        <v>23</v>
      </c>
      <c r="M73" t="s">
        <v>37</v>
      </c>
      <c r="N73" t="s">
        <v>37</v>
      </c>
    </row>
    <row r="74" spans="1:14" x14ac:dyDescent="0.2">
      <c r="A74" t="s">
        <v>14</v>
      </c>
      <c r="B74" t="s">
        <v>15</v>
      </c>
      <c r="C74" t="s">
        <v>48</v>
      </c>
      <c r="D74" t="s">
        <v>49</v>
      </c>
      <c r="E74" t="s">
        <v>33</v>
      </c>
      <c r="F74" t="s">
        <v>19</v>
      </c>
      <c r="G74">
        <v>5</v>
      </c>
      <c r="H74" t="s">
        <v>20</v>
      </c>
      <c r="I74" t="s">
        <v>21</v>
      </c>
      <c r="J74" t="s">
        <v>22</v>
      </c>
      <c r="K74">
        <v>1</v>
      </c>
      <c r="L74" t="s">
        <v>25</v>
      </c>
      <c r="M74" t="s">
        <v>50</v>
      </c>
      <c r="N74" t="s">
        <v>50</v>
      </c>
    </row>
    <row r="75" spans="1:14" x14ac:dyDescent="0.2">
      <c r="A75" t="s">
        <v>14</v>
      </c>
      <c r="B75" t="s">
        <v>15</v>
      </c>
      <c r="C75" t="s">
        <v>48</v>
      </c>
      <c r="D75" t="s">
        <v>49</v>
      </c>
      <c r="E75" t="s">
        <v>33</v>
      </c>
      <c r="F75" t="s">
        <v>19</v>
      </c>
      <c r="G75">
        <v>5</v>
      </c>
      <c r="H75" t="s">
        <v>20</v>
      </c>
      <c r="I75" t="s">
        <v>21</v>
      </c>
      <c r="J75" t="s">
        <v>22</v>
      </c>
      <c r="K75">
        <v>2</v>
      </c>
      <c r="L75" t="s">
        <v>23</v>
      </c>
      <c r="M75" t="s">
        <v>50</v>
      </c>
      <c r="N75" t="s">
        <v>50</v>
      </c>
    </row>
    <row r="76" spans="1:14" x14ac:dyDescent="0.2">
      <c r="A76" t="s">
        <v>14</v>
      </c>
      <c r="B76" t="s">
        <v>15</v>
      </c>
      <c r="C76" t="s">
        <v>48</v>
      </c>
      <c r="D76" t="s">
        <v>49</v>
      </c>
      <c r="E76" t="s">
        <v>33</v>
      </c>
      <c r="F76" t="s">
        <v>19</v>
      </c>
      <c r="G76">
        <v>5</v>
      </c>
      <c r="H76" t="s">
        <v>20</v>
      </c>
      <c r="I76" t="s">
        <v>21</v>
      </c>
      <c r="J76" t="s">
        <v>22</v>
      </c>
      <c r="K76">
        <v>3</v>
      </c>
      <c r="L76" t="s">
        <v>25</v>
      </c>
      <c r="M76" t="s">
        <v>50</v>
      </c>
      <c r="N76" t="s">
        <v>50</v>
      </c>
    </row>
    <row r="77" spans="1:14" x14ac:dyDescent="0.2">
      <c r="A77" t="s">
        <v>14</v>
      </c>
      <c r="B77" t="s">
        <v>15</v>
      </c>
      <c r="C77" t="s">
        <v>48</v>
      </c>
      <c r="D77" t="s">
        <v>49</v>
      </c>
      <c r="E77" t="s">
        <v>33</v>
      </c>
      <c r="F77" t="s">
        <v>19</v>
      </c>
      <c r="G77">
        <v>5</v>
      </c>
      <c r="H77" t="s">
        <v>20</v>
      </c>
      <c r="I77" t="s">
        <v>21</v>
      </c>
      <c r="J77" t="s">
        <v>22</v>
      </c>
      <c r="K77">
        <v>4</v>
      </c>
      <c r="L77" t="s">
        <v>25</v>
      </c>
      <c r="M77" t="s">
        <v>50</v>
      </c>
      <c r="N77" t="s">
        <v>50</v>
      </c>
    </row>
    <row r="78" spans="1:14" x14ac:dyDescent="0.2">
      <c r="A78" t="s">
        <v>14</v>
      </c>
      <c r="B78" t="s">
        <v>15</v>
      </c>
      <c r="C78" t="s">
        <v>48</v>
      </c>
      <c r="D78" t="s">
        <v>49</v>
      </c>
      <c r="E78" t="s">
        <v>33</v>
      </c>
      <c r="F78" t="s">
        <v>19</v>
      </c>
      <c r="G78">
        <v>5</v>
      </c>
      <c r="H78" t="s">
        <v>20</v>
      </c>
      <c r="I78" t="s">
        <v>21</v>
      </c>
      <c r="J78" t="s">
        <v>22</v>
      </c>
      <c r="K78">
        <v>5</v>
      </c>
      <c r="L78" t="s">
        <v>25</v>
      </c>
      <c r="M78" t="s">
        <v>50</v>
      </c>
      <c r="N78" t="s">
        <v>50</v>
      </c>
    </row>
    <row r="79" spans="1:14" x14ac:dyDescent="0.2">
      <c r="A79" t="s">
        <v>14</v>
      </c>
      <c r="B79" t="s">
        <v>15</v>
      </c>
      <c r="C79" t="s">
        <v>48</v>
      </c>
      <c r="D79" t="s">
        <v>49</v>
      </c>
      <c r="E79" t="s">
        <v>33</v>
      </c>
      <c r="F79" t="s">
        <v>19</v>
      </c>
      <c r="G79">
        <v>5</v>
      </c>
      <c r="H79" t="s">
        <v>20</v>
      </c>
      <c r="I79" t="s">
        <v>21</v>
      </c>
      <c r="J79" t="s">
        <v>22</v>
      </c>
      <c r="K79">
        <v>6</v>
      </c>
      <c r="L79" t="s">
        <v>25</v>
      </c>
      <c r="M79" t="s">
        <v>50</v>
      </c>
      <c r="N79" t="s">
        <v>50</v>
      </c>
    </row>
    <row r="80" spans="1:14" x14ac:dyDescent="0.2">
      <c r="A80" t="s">
        <v>14</v>
      </c>
      <c r="B80" t="s">
        <v>15</v>
      </c>
      <c r="C80" t="s">
        <v>48</v>
      </c>
      <c r="D80" t="s">
        <v>49</v>
      </c>
      <c r="E80" t="s">
        <v>33</v>
      </c>
      <c r="F80" t="s">
        <v>19</v>
      </c>
      <c r="G80">
        <v>5</v>
      </c>
      <c r="H80" t="s">
        <v>20</v>
      </c>
      <c r="I80" t="s">
        <v>21</v>
      </c>
      <c r="J80" t="s">
        <v>22</v>
      </c>
      <c r="K80">
        <v>7</v>
      </c>
      <c r="L80" t="s">
        <v>23</v>
      </c>
      <c r="M80" t="s">
        <v>50</v>
      </c>
      <c r="N80" t="s">
        <v>50</v>
      </c>
    </row>
    <row r="81" spans="1:14" x14ac:dyDescent="0.2">
      <c r="A81" t="s">
        <v>14</v>
      </c>
      <c r="B81" t="s">
        <v>15</v>
      </c>
      <c r="C81" t="s">
        <v>48</v>
      </c>
      <c r="D81" t="s">
        <v>49</v>
      </c>
      <c r="E81" t="s">
        <v>33</v>
      </c>
      <c r="F81" t="s">
        <v>19</v>
      </c>
      <c r="G81">
        <v>5</v>
      </c>
      <c r="H81" t="s">
        <v>20</v>
      </c>
      <c r="I81" t="s">
        <v>21</v>
      </c>
      <c r="J81" t="s">
        <v>22</v>
      </c>
      <c r="K81">
        <v>8</v>
      </c>
      <c r="L81" t="s">
        <v>23</v>
      </c>
      <c r="M81" t="s">
        <v>50</v>
      </c>
      <c r="N81" t="s">
        <v>50</v>
      </c>
    </row>
    <row r="82" spans="1:14" x14ac:dyDescent="0.2">
      <c r="A82" t="s">
        <v>14</v>
      </c>
      <c r="B82" t="s">
        <v>15</v>
      </c>
      <c r="C82" t="s">
        <v>51</v>
      </c>
      <c r="D82" t="s">
        <v>39</v>
      </c>
      <c r="E82" t="s">
        <v>33</v>
      </c>
      <c r="F82" t="s">
        <v>19</v>
      </c>
      <c r="G82">
        <v>5</v>
      </c>
      <c r="H82" t="s">
        <v>20</v>
      </c>
      <c r="I82" t="s">
        <v>21</v>
      </c>
      <c r="J82" t="s">
        <v>22</v>
      </c>
      <c r="K82">
        <v>1</v>
      </c>
      <c r="L82" t="s">
        <v>23</v>
      </c>
      <c r="M82" t="s">
        <v>52</v>
      </c>
      <c r="N82" t="s">
        <v>52</v>
      </c>
    </row>
    <row r="83" spans="1:14" x14ac:dyDescent="0.2">
      <c r="A83" t="s">
        <v>14</v>
      </c>
      <c r="B83" t="s">
        <v>15</v>
      </c>
      <c r="C83" t="s">
        <v>51</v>
      </c>
      <c r="D83" t="s">
        <v>39</v>
      </c>
      <c r="E83" t="s">
        <v>33</v>
      </c>
      <c r="F83" t="s">
        <v>19</v>
      </c>
      <c r="G83">
        <v>5</v>
      </c>
      <c r="H83" t="s">
        <v>20</v>
      </c>
      <c r="I83" t="s">
        <v>21</v>
      </c>
      <c r="J83" t="s">
        <v>22</v>
      </c>
      <c r="K83">
        <v>2</v>
      </c>
      <c r="L83" t="s">
        <v>25</v>
      </c>
      <c r="M83" t="s">
        <v>52</v>
      </c>
      <c r="N83" t="s">
        <v>52</v>
      </c>
    </row>
    <row r="84" spans="1:14" x14ac:dyDescent="0.2">
      <c r="A84" t="s">
        <v>14</v>
      </c>
      <c r="B84" t="s">
        <v>15</v>
      </c>
      <c r="C84" t="s">
        <v>51</v>
      </c>
      <c r="D84" t="s">
        <v>39</v>
      </c>
      <c r="E84" t="s">
        <v>33</v>
      </c>
      <c r="F84" t="s">
        <v>19</v>
      </c>
      <c r="G84">
        <v>5</v>
      </c>
      <c r="H84" t="s">
        <v>20</v>
      </c>
      <c r="I84" t="s">
        <v>21</v>
      </c>
      <c r="J84" t="s">
        <v>22</v>
      </c>
      <c r="K84">
        <v>3</v>
      </c>
      <c r="L84" t="s">
        <v>25</v>
      </c>
      <c r="M84" t="s">
        <v>52</v>
      </c>
      <c r="N84" t="s">
        <v>52</v>
      </c>
    </row>
    <row r="85" spans="1:14" x14ac:dyDescent="0.2">
      <c r="A85" t="s">
        <v>14</v>
      </c>
      <c r="B85" t="s">
        <v>15</v>
      </c>
      <c r="C85" t="s">
        <v>51</v>
      </c>
      <c r="D85" t="s">
        <v>39</v>
      </c>
      <c r="E85" t="s">
        <v>33</v>
      </c>
      <c r="F85" t="s">
        <v>19</v>
      </c>
      <c r="G85">
        <v>5</v>
      </c>
      <c r="H85" t="s">
        <v>20</v>
      </c>
      <c r="I85" t="s">
        <v>21</v>
      </c>
      <c r="J85" t="s">
        <v>22</v>
      </c>
      <c r="K85">
        <v>4</v>
      </c>
      <c r="L85" t="s">
        <v>25</v>
      </c>
      <c r="M85" t="s">
        <v>52</v>
      </c>
      <c r="N85" t="s">
        <v>52</v>
      </c>
    </row>
    <row r="86" spans="1:14" x14ac:dyDescent="0.2">
      <c r="A86" t="s">
        <v>14</v>
      </c>
      <c r="B86" t="s">
        <v>15</v>
      </c>
      <c r="C86" t="s">
        <v>51</v>
      </c>
      <c r="D86" t="s">
        <v>39</v>
      </c>
      <c r="E86" t="s">
        <v>33</v>
      </c>
      <c r="F86" t="s">
        <v>19</v>
      </c>
      <c r="G86">
        <v>5</v>
      </c>
      <c r="H86" t="s">
        <v>20</v>
      </c>
      <c r="I86" t="s">
        <v>21</v>
      </c>
      <c r="J86" t="s">
        <v>22</v>
      </c>
      <c r="K86">
        <v>5</v>
      </c>
      <c r="L86" t="s">
        <v>23</v>
      </c>
      <c r="M86" t="s">
        <v>52</v>
      </c>
      <c r="N86" t="s">
        <v>52</v>
      </c>
    </row>
    <row r="87" spans="1:14" x14ac:dyDescent="0.2">
      <c r="A87" t="s">
        <v>14</v>
      </c>
      <c r="B87" t="s">
        <v>15</v>
      </c>
      <c r="C87" t="s">
        <v>51</v>
      </c>
      <c r="D87" t="s">
        <v>39</v>
      </c>
      <c r="E87" t="s">
        <v>33</v>
      </c>
      <c r="F87" t="s">
        <v>19</v>
      </c>
      <c r="G87">
        <v>5</v>
      </c>
      <c r="H87" t="s">
        <v>20</v>
      </c>
      <c r="I87" t="s">
        <v>21</v>
      </c>
      <c r="J87" t="s">
        <v>22</v>
      </c>
      <c r="K87">
        <v>6</v>
      </c>
      <c r="L87" t="s">
        <v>23</v>
      </c>
      <c r="M87" t="s">
        <v>52</v>
      </c>
      <c r="N87" t="s">
        <v>52</v>
      </c>
    </row>
    <row r="88" spans="1:14" x14ac:dyDescent="0.2">
      <c r="A88" t="s">
        <v>14</v>
      </c>
      <c r="B88" t="s">
        <v>15</v>
      </c>
      <c r="C88" t="s">
        <v>51</v>
      </c>
      <c r="D88" t="s">
        <v>39</v>
      </c>
      <c r="E88" t="s">
        <v>33</v>
      </c>
      <c r="F88" t="s">
        <v>19</v>
      </c>
      <c r="G88">
        <v>5</v>
      </c>
      <c r="H88" t="s">
        <v>20</v>
      </c>
      <c r="I88" t="s">
        <v>21</v>
      </c>
      <c r="J88" t="s">
        <v>22</v>
      </c>
      <c r="K88">
        <v>7</v>
      </c>
      <c r="L88" t="s">
        <v>25</v>
      </c>
      <c r="M88" t="s">
        <v>52</v>
      </c>
      <c r="N88" t="s">
        <v>52</v>
      </c>
    </row>
    <row r="89" spans="1:14" x14ac:dyDescent="0.2">
      <c r="A89" t="s">
        <v>14</v>
      </c>
      <c r="B89" t="s">
        <v>15</v>
      </c>
      <c r="C89" t="s">
        <v>53</v>
      </c>
      <c r="D89" t="s">
        <v>17</v>
      </c>
      <c r="E89" t="s">
        <v>43</v>
      </c>
      <c r="F89" t="s">
        <v>19</v>
      </c>
      <c r="G89">
        <v>5</v>
      </c>
      <c r="H89" t="s">
        <v>20</v>
      </c>
      <c r="I89" t="s">
        <v>21</v>
      </c>
      <c r="J89" t="s">
        <v>22</v>
      </c>
      <c r="K89">
        <v>1</v>
      </c>
      <c r="L89" t="s">
        <v>25</v>
      </c>
      <c r="M89" t="s">
        <v>54</v>
      </c>
      <c r="N89" t="s">
        <v>54</v>
      </c>
    </row>
    <row r="90" spans="1:14" x14ac:dyDescent="0.2">
      <c r="A90" t="s">
        <v>14</v>
      </c>
      <c r="B90" t="s">
        <v>15</v>
      </c>
      <c r="C90" t="s">
        <v>53</v>
      </c>
      <c r="D90" t="s">
        <v>17</v>
      </c>
      <c r="E90" t="s">
        <v>43</v>
      </c>
      <c r="F90" t="s">
        <v>19</v>
      </c>
      <c r="G90">
        <v>5</v>
      </c>
      <c r="H90" t="s">
        <v>20</v>
      </c>
      <c r="I90" t="s">
        <v>21</v>
      </c>
      <c r="J90" t="s">
        <v>22</v>
      </c>
      <c r="K90">
        <v>2</v>
      </c>
      <c r="L90" t="s">
        <v>25</v>
      </c>
      <c r="M90" t="s">
        <v>54</v>
      </c>
      <c r="N90" t="s">
        <v>54</v>
      </c>
    </row>
    <row r="91" spans="1:14" x14ac:dyDescent="0.2">
      <c r="A91" t="s">
        <v>14</v>
      </c>
      <c r="B91" t="s">
        <v>15</v>
      </c>
      <c r="C91" t="s">
        <v>53</v>
      </c>
      <c r="D91" t="s">
        <v>17</v>
      </c>
      <c r="E91" t="s">
        <v>43</v>
      </c>
      <c r="F91" t="s">
        <v>19</v>
      </c>
      <c r="G91">
        <v>5</v>
      </c>
      <c r="H91" t="s">
        <v>20</v>
      </c>
      <c r="I91" t="s">
        <v>21</v>
      </c>
      <c r="J91" t="s">
        <v>22</v>
      </c>
      <c r="K91">
        <v>3</v>
      </c>
      <c r="L91" t="s">
        <v>25</v>
      </c>
      <c r="M91" t="s">
        <v>54</v>
      </c>
      <c r="N91" t="s">
        <v>54</v>
      </c>
    </row>
    <row r="92" spans="1:14" x14ac:dyDescent="0.2">
      <c r="A92" t="s">
        <v>14</v>
      </c>
      <c r="B92" t="s">
        <v>15</v>
      </c>
      <c r="C92" t="s">
        <v>53</v>
      </c>
      <c r="D92" t="s">
        <v>17</v>
      </c>
      <c r="E92" t="s">
        <v>43</v>
      </c>
      <c r="F92" t="s">
        <v>19</v>
      </c>
      <c r="G92">
        <v>5</v>
      </c>
      <c r="H92" t="s">
        <v>20</v>
      </c>
      <c r="I92" t="s">
        <v>21</v>
      </c>
      <c r="J92" t="s">
        <v>22</v>
      </c>
      <c r="K92">
        <v>4</v>
      </c>
      <c r="L92" t="s">
        <v>25</v>
      </c>
      <c r="M92" t="s">
        <v>54</v>
      </c>
      <c r="N92" t="s">
        <v>54</v>
      </c>
    </row>
    <row r="93" spans="1:14" x14ac:dyDescent="0.2">
      <c r="A93" t="s">
        <v>14</v>
      </c>
      <c r="B93" t="s">
        <v>15</v>
      </c>
      <c r="C93" t="s">
        <v>53</v>
      </c>
      <c r="D93" t="s">
        <v>17</v>
      </c>
      <c r="E93" t="s">
        <v>43</v>
      </c>
      <c r="F93" t="s">
        <v>19</v>
      </c>
      <c r="G93">
        <v>5</v>
      </c>
      <c r="H93" t="s">
        <v>20</v>
      </c>
      <c r="I93" t="s">
        <v>21</v>
      </c>
      <c r="J93" t="s">
        <v>22</v>
      </c>
      <c r="K93">
        <v>5</v>
      </c>
      <c r="L93" t="s">
        <v>25</v>
      </c>
      <c r="M93" t="s">
        <v>54</v>
      </c>
      <c r="N93" t="s">
        <v>54</v>
      </c>
    </row>
    <row r="94" spans="1:14" x14ac:dyDescent="0.2">
      <c r="A94" t="s">
        <v>14</v>
      </c>
      <c r="B94" t="s">
        <v>15</v>
      </c>
      <c r="C94" t="s">
        <v>53</v>
      </c>
      <c r="D94" t="s">
        <v>17</v>
      </c>
      <c r="E94" t="s">
        <v>43</v>
      </c>
      <c r="F94" t="s">
        <v>19</v>
      </c>
      <c r="G94">
        <v>5</v>
      </c>
      <c r="H94" t="s">
        <v>20</v>
      </c>
      <c r="I94" t="s">
        <v>21</v>
      </c>
      <c r="J94" t="s">
        <v>22</v>
      </c>
      <c r="K94">
        <v>6</v>
      </c>
      <c r="L94" t="s">
        <v>25</v>
      </c>
      <c r="M94" t="s">
        <v>54</v>
      </c>
      <c r="N94" t="s">
        <v>54</v>
      </c>
    </row>
    <row r="95" spans="1:14" x14ac:dyDescent="0.2">
      <c r="A95" t="s">
        <v>14</v>
      </c>
      <c r="B95" t="s">
        <v>15</v>
      </c>
      <c r="C95" t="s">
        <v>53</v>
      </c>
      <c r="D95" t="s">
        <v>17</v>
      </c>
      <c r="E95" t="s">
        <v>43</v>
      </c>
      <c r="F95" t="s">
        <v>19</v>
      </c>
      <c r="G95">
        <v>5</v>
      </c>
      <c r="H95" t="s">
        <v>20</v>
      </c>
      <c r="I95" t="s">
        <v>21</v>
      </c>
      <c r="J95" t="s">
        <v>22</v>
      </c>
      <c r="K95">
        <v>7</v>
      </c>
      <c r="L95" t="s">
        <v>23</v>
      </c>
      <c r="M95" t="s">
        <v>54</v>
      </c>
      <c r="N95" t="s">
        <v>54</v>
      </c>
    </row>
    <row r="96" spans="1:14" x14ac:dyDescent="0.2">
      <c r="A96" t="s">
        <v>14</v>
      </c>
      <c r="B96" t="s">
        <v>15</v>
      </c>
      <c r="C96" t="s">
        <v>53</v>
      </c>
      <c r="D96" t="s">
        <v>17</v>
      </c>
      <c r="E96" t="s">
        <v>43</v>
      </c>
      <c r="F96" t="s">
        <v>19</v>
      </c>
      <c r="G96">
        <v>5</v>
      </c>
      <c r="H96" t="s">
        <v>20</v>
      </c>
      <c r="I96" t="s">
        <v>21</v>
      </c>
      <c r="J96" t="s">
        <v>22</v>
      </c>
      <c r="K96">
        <v>8</v>
      </c>
      <c r="L96" t="s">
        <v>25</v>
      </c>
      <c r="M96" t="s">
        <v>54</v>
      </c>
      <c r="N96" t="s">
        <v>54</v>
      </c>
    </row>
    <row r="97" spans="1:14" x14ac:dyDescent="0.2">
      <c r="A97" t="s">
        <v>14</v>
      </c>
      <c r="B97" t="s">
        <v>15</v>
      </c>
      <c r="C97" t="s">
        <v>53</v>
      </c>
      <c r="D97" t="s">
        <v>17</v>
      </c>
      <c r="E97" t="s">
        <v>43</v>
      </c>
      <c r="F97" t="s">
        <v>19</v>
      </c>
      <c r="G97">
        <v>5</v>
      </c>
      <c r="H97" t="s">
        <v>20</v>
      </c>
      <c r="I97" t="s">
        <v>21</v>
      </c>
      <c r="J97" t="s">
        <v>22</v>
      </c>
      <c r="K97">
        <v>9</v>
      </c>
      <c r="L97" t="s">
        <v>25</v>
      </c>
      <c r="M97" t="s">
        <v>54</v>
      </c>
      <c r="N97" t="s">
        <v>54</v>
      </c>
    </row>
    <row r="98" spans="1:14" x14ac:dyDescent="0.2">
      <c r="A98" t="s">
        <v>14</v>
      </c>
      <c r="B98" t="s">
        <v>15</v>
      </c>
      <c r="C98" t="s">
        <v>53</v>
      </c>
      <c r="D98" t="s">
        <v>17</v>
      </c>
      <c r="E98" t="s">
        <v>43</v>
      </c>
      <c r="F98" t="s">
        <v>19</v>
      </c>
      <c r="G98">
        <v>5</v>
      </c>
      <c r="H98" t="s">
        <v>20</v>
      </c>
      <c r="I98" t="s">
        <v>21</v>
      </c>
      <c r="J98" t="s">
        <v>22</v>
      </c>
      <c r="K98">
        <v>10</v>
      </c>
      <c r="L98" t="s">
        <v>25</v>
      </c>
      <c r="M98" t="s">
        <v>54</v>
      </c>
      <c r="N98" t="s">
        <v>54</v>
      </c>
    </row>
    <row r="99" spans="1:14" x14ac:dyDescent="0.2">
      <c r="A99" t="s">
        <v>14</v>
      </c>
      <c r="B99" t="s">
        <v>15</v>
      </c>
      <c r="C99" t="s">
        <v>55</v>
      </c>
      <c r="D99" t="s">
        <v>56</v>
      </c>
      <c r="E99" t="s">
        <v>18</v>
      </c>
      <c r="F99" t="s">
        <v>19</v>
      </c>
      <c r="G99">
        <v>5</v>
      </c>
      <c r="H99" t="s">
        <v>20</v>
      </c>
      <c r="I99" t="s">
        <v>21</v>
      </c>
      <c r="J99" t="s">
        <v>22</v>
      </c>
      <c r="K99">
        <v>1</v>
      </c>
      <c r="L99" t="s">
        <v>25</v>
      </c>
      <c r="M99" t="s">
        <v>57</v>
      </c>
      <c r="N99" t="s">
        <v>57</v>
      </c>
    </row>
    <row r="100" spans="1:14" x14ac:dyDescent="0.2">
      <c r="A100" t="s">
        <v>14</v>
      </c>
      <c r="B100" t="s">
        <v>15</v>
      </c>
      <c r="C100" t="s">
        <v>55</v>
      </c>
      <c r="D100" t="s">
        <v>56</v>
      </c>
      <c r="E100" t="s">
        <v>18</v>
      </c>
      <c r="F100" t="s">
        <v>19</v>
      </c>
      <c r="G100">
        <v>5</v>
      </c>
      <c r="H100" t="s">
        <v>20</v>
      </c>
      <c r="I100" t="s">
        <v>21</v>
      </c>
      <c r="J100" t="s">
        <v>22</v>
      </c>
      <c r="K100">
        <v>2</v>
      </c>
      <c r="L100" t="s">
        <v>25</v>
      </c>
      <c r="M100" t="s">
        <v>57</v>
      </c>
      <c r="N100" t="s">
        <v>57</v>
      </c>
    </row>
    <row r="101" spans="1:14" x14ac:dyDescent="0.2">
      <c r="A101" t="s">
        <v>14</v>
      </c>
      <c r="B101" t="s">
        <v>15</v>
      </c>
      <c r="C101" t="s">
        <v>55</v>
      </c>
      <c r="D101" t="s">
        <v>56</v>
      </c>
      <c r="E101" t="s">
        <v>18</v>
      </c>
      <c r="F101" t="s">
        <v>19</v>
      </c>
      <c r="G101">
        <v>5</v>
      </c>
      <c r="H101" t="s">
        <v>20</v>
      </c>
      <c r="I101" t="s">
        <v>21</v>
      </c>
      <c r="J101" t="s">
        <v>22</v>
      </c>
      <c r="K101">
        <v>3</v>
      </c>
      <c r="L101" t="s">
        <v>25</v>
      </c>
      <c r="M101" t="s">
        <v>57</v>
      </c>
      <c r="N101" t="s">
        <v>57</v>
      </c>
    </row>
    <row r="102" spans="1:14" x14ac:dyDescent="0.2">
      <c r="A102" t="s">
        <v>14</v>
      </c>
      <c r="B102" t="s">
        <v>15</v>
      </c>
      <c r="C102" t="s">
        <v>55</v>
      </c>
      <c r="D102" t="s">
        <v>56</v>
      </c>
      <c r="E102" t="s">
        <v>18</v>
      </c>
      <c r="F102" t="s">
        <v>19</v>
      </c>
      <c r="G102">
        <v>5</v>
      </c>
      <c r="H102" t="s">
        <v>20</v>
      </c>
      <c r="I102" t="s">
        <v>21</v>
      </c>
      <c r="J102" t="s">
        <v>22</v>
      </c>
      <c r="K102">
        <v>4</v>
      </c>
      <c r="L102" t="s">
        <v>25</v>
      </c>
      <c r="M102" t="s">
        <v>57</v>
      </c>
      <c r="N102" t="s">
        <v>57</v>
      </c>
    </row>
    <row r="103" spans="1:14" x14ac:dyDescent="0.2">
      <c r="A103" t="s">
        <v>14</v>
      </c>
      <c r="B103" t="s">
        <v>15</v>
      </c>
      <c r="C103" t="s">
        <v>55</v>
      </c>
      <c r="D103" t="s">
        <v>56</v>
      </c>
      <c r="E103" t="s">
        <v>18</v>
      </c>
      <c r="F103" t="s">
        <v>19</v>
      </c>
      <c r="G103">
        <v>5</v>
      </c>
      <c r="H103" t="s">
        <v>20</v>
      </c>
      <c r="I103" t="s">
        <v>21</v>
      </c>
      <c r="J103" t="s">
        <v>22</v>
      </c>
      <c r="K103">
        <v>5</v>
      </c>
      <c r="L103" t="s">
        <v>25</v>
      </c>
      <c r="M103" t="s">
        <v>57</v>
      </c>
      <c r="N103" t="s">
        <v>57</v>
      </c>
    </row>
    <row r="104" spans="1:14" x14ac:dyDescent="0.2">
      <c r="A104" t="s">
        <v>14</v>
      </c>
      <c r="B104" t="s">
        <v>15</v>
      </c>
      <c r="C104" t="s">
        <v>55</v>
      </c>
      <c r="D104" t="s">
        <v>56</v>
      </c>
      <c r="E104" t="s">
        <v>18</v>
      </c>
      <c r="F104" t="s">
        <v>19</v>
      </c>
      <c r="G104">
        <v>5</v>
      </c>
      <c r="H104" t="s">
        <v>20</v>
      </c>
      <c r="I104" t="s">
        <v>21</v>
      </c>
      <c r="J104" t="s">
        <v>22</v>
      </c>
      <c r="K104">
        <v>6</v>
      </c>
      <c r="L104" t="s">
        <v>25</v>
      </c>
      <c r="M104" t="s">
        <v>57</v>
      </c>
      <c r="N104" t="s">
        <v>57</v>
      </c>
    </row>
    <row r="105" spans="1:14" x14ac:dyDescent="0.2">
      <c r="A105" t="s">
        <v>14</v>
      </c>
      <c r="B105" t="s">
        <v>15</v>
      </c>
      <c r="C105" t="s">
        <v>58</v>
      </c>
      <c r="D105" t="s">
        <v>30</v>
      </c>
      <c r="E105" t="s">
        <v>18</v>
      </c>
      <c r="F105" t="s">
        <v>19</v>
      </c>
      <c r="G105">
        <v>5</v>
      </c>
      <c r="H105" t="s">
        <v>20</v>
      </c>
      <c r="I105" t="s">
        <v>21</v>
      </c>
      <c r="J105" t="s">
        <v>22</v>
      </c>
      <c r="K105">
        <v>1</v>
      </c>
      <c r="L105" t="s">
        <v>25</v>
      </c>
      <c r="M105" t="s">
        <v>59</v>
      </c>
      <c r="N105" t="s">
        <v>59</v>
      </c>
    </row>
    <row r="106" spans="1:14" x14ac:dyDescent="0.2">
      <c r="A106" t="s">
        <v>14</v>
      </c>
      <c r="B106" t="s">
        <v>15</v>
      </c>
      <c r="C106" t="s">
        <v>58</v>
      </c>
      <c r="D106" t="s">
        <v>30</v>
      </c>
      <c r="E106" t="s">
        <v>18</v>
      </c>
      <c r="F106" t="s">
        <v>19</v>
      </c>
      <c r="G106">
        <v>5</v>
      </c>
      <c r="H106" t="s">
        <v>20</v>
      </c>
      <c r="I106" t="s">
        <v>21</v>
      </c>
      <c r="J106" t="s">
        <v>22</v>
      </c>
      <c r="K106">
        <v>2</v>
      </c>
      <c r="L106" t="s">
        <v>25</v>
      </c>
      <c r="M106" t="s">
        <v>59</v>
      </c>
      <c r="N106" t="s">
        <v>59</v>
      </c>
    </row>
    <row r="107" spans="1:14" x14ac:dyDescent="0.2">
      <c r="A107" t="s">
        <v>14</v>
      </c>
      <c r="B107" t="s">
        <v>15</v>
      </c>
      <c r="C107" t="s">
        <v>58</v>
      </c>
      <c r="D107" t="s">
        <v>30</v>
      </c>
      <c r="E107" t="s">
        <v>18</v>
      </c>
      <c r="F107" t="s">
        <v>19</v>
      </c>
      <c r="G107">
        <v>5</v>
      </c>
      <c r="H107" t="s">
        <v>20</v>
      </c>
      <c r="I107" t="s">
        <v>21</v>
      </c>
      <c r="J107" t="s">
        <v>22</v>
      </c>
      <c r="K107">
        <v>3</v>
      </c>
      <c r="L107" t="s">
        <v>25</v>
      </c>
      <c r="M107" t="s">
        <v>59</v>
      </c>
      <c r="N107" t="s">
        <v>59</v>
      </c>
    </row>
    <row r="108" spans="1:14" x14ac:dyDescent="0.2">
      <c r="A108" t="s">
        <v>14</v>
      </c>
      <c r="B108" t="s">
        <v>15</v>
      </c>
      <c r="C108" t="s">
        <v>58</v>
      </c>
      <c r="D108" t="s">
        <v>30</v>
      </c>
      <c r="E108" t="s">
        <v>18</v>
      </c>
      <c r="F108" t="s">
        <v>19</v>
      </c>
      <c r="G108">
        <v>5</v>
      </c>
      <c r="H108" t="s">
        <v>20</v>
      </c>
      <c r="I108" t="s">
        <v>21</v>
      </c>
      <c r="J108" t="s">
        <v>22</v>
      </c>
      <c r="K108">
        <v>4</v>
      </c>
      <c r="L108" t="s">
        <v>23</v>
      </c>
      <c r="M108" t="s">
        <v>59</v>
      </c>
      <c r="N108" t="s">
        <v>59</v>
      </c>
    </row>
    <row r="109" spans="1:14" x14ac:dyDescent="0.2">
      <c r="A109" t="s">
        <v>14</v>
      </c>
      <c r="B109" t="s">
        <v>15</v>
      </c>
      <c r="C109" t="s">
        <v>58</v>
      </c>
      <c r="D109" t="s">
        <v>30</v>
      </c>
      <c r="E109" t="s">
        <v>18</v>
      </c>
      <c r="F109" t="s">
        <v>19</v>
      </c>
      <c r="G109">
        <v>5</v>
      </c>
      <c r="H109" t="s">
        <v>20</v>
      </c>
      <c r="I109" t="s">
        <v>21</v>
      </c>
      <c r="J109" t="s">
        <v>22</v>
      </c>
      <c r="K109">
        <v>5</v>
      </c>
      <c r="L109" t="s">
        <v>25</v>
      </c>
      <c r="M109" t="s">
        <v>59</v>
      </c>
      <c r="N109" t="s">
        <v>59</v>
      </c>
    </row>
    <row r="110" spans="1:14" x14ac:dyDescent="0.2">
      <c r="A110" t="s">
        <v>14</v>
      </c>
      <c r="B110" t="s">
        <v>15</v>
      </c>
      <c r="C110" t="s">
        <v>58</v>
      </c>
      <c r="D110" t="s">
        <v>30</v>
      </c>
      <c r="E110" t="s">
        <v>18</v>
      </c>
      <c r="F110" t="s">
        <v>19</v>
      </c>
      <c r="G110">
        <v>5</v>
      </c>
      <c r="H110" t="s">
        <v>20</v>
      </c>
      <c r="I110" t="s">
        <v>21</v>
      </c>
      <c r="J110" t="s">
        <v>22</v>
      </c>
      <c r="K110">
        <v>6</v>
      </c>
      <c r="L110" t="s">
        <v>25</v>
      </c>
      <c r="M110" t="s">
        <v>59</v>
      </c>
      <c r="N110" t="s">
        <v>59</v>
      </c>
    </row>
    <row r="111" spans="1:14" x14ac:dyDescent="0.2">
      <c r="A111" t="s">
        <v>14</v>
      </c>
      <c r="B111" t="s">
        <v>15</v>
      </c>
      <c r="C111" t="s">
        <v>58</v>
      </c>
      <c r="D111" t="s">
        <v>30</v>
      </c>
      <c r="E111" t="s">
        <v>18</v>
      </c>
      <c r="F111" t="s">
        <v>19</v>
      </c>
      <c r="G111">
        <v>5</v>
      </c>
      <c r="H111" t="s">
        <v>20</v>
      </c>
      <c r="I111" t="s">
        <v>21</v>
      </c>
      <c r="J111" t="s">
        <v>22</v>
      </c>
      <c r="K111">
        <v>7</v>
      </c>
      <c r="L111" t="s">
        <v>23</v>
      </c>
      <c r="M111" t="s">
        <v>59</v>
      </c>
      <c r="N111" t="s">
        <v>59</v>
      </c>
    </row>
    <row r="112" spans="1:14" x14ac:dyDescent="0.2">
      <c r="A112" t="s">
        <v>14</v>
      </c>
      <c r="B112" t="s">
        <v>15</v>
      </c>
      <c r="C112" t="s">
        <v>58</v>
      </c>
      <c r="D112" t="s">
        <v>30</v>
      </c>
      <c r="E112" t="s">
        <v>18</v>
      </c>
      <c r="F112" t="s">
        <v>19</v>
      </c>
      <c r="G112">
        <v>5</v>
      </c>
      <c r="H112" t="s">
        <v>20</v>
      </c>
      <c r="I112" t="s">
        <v>21</v>
      </c>
      <c r="J112" t="s">
        <v>22</v>
      </c>
      <c r="K112">
        <v>8</v>
      </c>
      <c r="L112" t="s">
        <v>23</v>
      </c>
      <c r="M112" t="s">
        <v>59</v>
      </c>
      <c r="N112" t="s">
        <v>59</v>
      </c>
    </row>
    <row r="113" spans="1:14" x14ac:dyDescent="0.2">
      <c r="A113" t="s">
        <v>14</v>
      </c>
      <c r="B113" t="s">
        <v>15</v>
      </c>
      <c r="C113" t="s">
        <v>58</v>
      </c>
      <c r="D113" t="s">
        <v>30</v>
      </c>
      <c r="E113" t="s">
        <v>18</v>
      </c>
      <c r="F113" t="s">
        <v>19</v>
      </c>
      <c r="G113">
        <v>5</v>
      </c>
      <c r="H113" t="s">
        <v>20</v>
      </c>
      <c r="I113" t="s">
        <v>21</v>
      </c>
      <c r="J113" t="s">
        <v>22</v>
      </c>
      <c r="K113">
        <v>9</v>
      </c>
      <c r="L113" t="s">
        <v>25</v>
      </c>
      <c r="M113" t="s">
        <v>59</v>
      </c>
      <c r="N113" t="s">
        <v>59</v>
      </c>
    </row>
    <row r="114" spans="1:14" x14ac:dyDescent="0.2">
      <c r="A114" t="s">
        <v>14</v>
      </c>
      <c r="B114" t="s">
        <v>15</v>
      </c>
      <c r="C114" t="s">
        <v>58</v>
      </c>
      <c r="D114" t="s">
        <v>30</v>
      </c>
      <c r="E114" t="s">
        <v>18</v>
      </c>
      <c r="F114" t="s">
        <v>19</v>
      </c>
      <c r="G114">
        <v>5</v>
      </c>
      <c r="H114" t="s">
        <v>20</v>
      </c>
      <c r="I114" t="s">
        <v>21</v>
      </c>
      <c r="J114" t="s">
        <v>22</v>
      </c>
      <c r="K114">
        <v>10</v>
      </c>
      <c r="L114" t="s">
        <v>25</v>
      </c>
      <c r="M114" t="s">
        <v>59</v>
      </c>
      <c r="N114" t="s">
        <v>59</v>
      </c>
    </row>
    <row r="115" spans="1:14" x14ac:dyDescent="0.2">
      <c r="A115" t="s">
        <v>14</v>
      </c>
      <c r="B115" t="s">
        <v>15</v>
      </c>
      <c r="C115" t="s">
        <v>60</v>
      </c>
      <c r="D115" t="s">
        <v>61</v>
      </c>
      <c r="E115" t="s">
        <v>43</v>
      </c>
      <c r="F115" t="s">
        <v>19</v>
      </c>
      <c r="G115">
        <v>5</v>
      </c>
      <c r="H115" t="s">
        <v>20</v>
      </c>
      <c r="I115" t="s">
        <v>21</v>
      </c>
      <c r="J115" t="s">
        <v>22</v>
      </c>
      <c r="K115">
        <v>1</v>
      </c>
      <c r="L115" t="s">
        <v>25</v>
      </c>
      <c r="M115" t="s">
        <v>62</v>
      </c>
      <c r="N115" t="s">
        <v>62</v>
      </c>
    </row>
    <row r="116" spans="1:14" x14ac:dyDescent="0.2">
      <c r="A116" t="s">
        <v>14</v>
      </c>
      <c r="B116" t="s">
        <v>15</v>
      </c>
      <c r="C116" t="s">
        <v>60</v>
      </c>
      <c r="D116" t="s">
        <v>61</v>
      </c>
      <c r="E116" t="s">
        <v>43</v>
      </c>
      <c r="F116" t="s">
        <v>19</v>
      </c>
      <c r="G116">
        <v>5</v>
      </c>
      <c r="H116" t="s">
        <v>20</v>
      </c>
      <c r="I116" t="s">
        <v>21</v>
      </c>
      <c r="J116" t="s">
        <v>22</v>
      </c>
      <c r="K116">
        <v>2</v>
      </c>
      <c r="L116" t="s">
        <v>25</v>
      </c>
      <c r="M116" t="s">
        <v>62</v>
      </c>
      <c r="N116" t="s">
        <v>62</v>
      </c>
    </row>
    <row r="117" spans="1:14" x14ac:dyDescent="0.2">
      <c r="A117" t="s">
        <v>14</v>
      </c>
      <c r="B117" t="s">
        <v>15</v>
      </c>
      <c r="C117" t="s">
        <v>60</v>
      </c>
      <c r="D117" t="s">
        <v>61</v>
      </c>
      <c r="E117" t="s">
        <v>43</v>
      </c>
      <c r="F117" t="s">
        <v>19</v>
      </c>
      <c r="G117">
        <v>5</v>
      </c>
      <c r="H117" t="s">
        <v>20</v>
      </c>
      <c r="I117" t="s">
        <v>21</v>
      </c>
      <c r="J117" t="s">
        <v>22</v>
      </c>
      <c r="K117">
        <v>3</v>
      </c>
      <c r="L117" t="s">
        <v>23</v>
      </c>
      <c r="M117" t="s">
        <v>62</v>
      </c>
      <c r="N117" t="s">
        <v>62</v>
      </c>
    </row>
    <row r="118" spans="1:14" x14ac:dyDescent="0.2">
      <c r="A118" t="s">
        <v>14</v>
      </c>
      <c r="B118" t="s">
        <v>15</v>
      </c>
      <c r="C118" t="s">
        <v>60</v>
      </c>
      <c r="D118" t="s">
        <v>61</v>
      </c>
      <c r="E118" t="s">
        <v>43</v>
      </c>
      <c r="F118" t="s">
        <v>19</v>
      </c>
      <c r="G118">
        <v>5</v>
      </c>
      <c r="H118" t="s">
        <v>20</v>
      </c>
      <c r="I118" t="s">
        <v>21</v>
      </c>
      <c r="J118" t="s">
        <v>22</v>
      </c>
      <c r="K118">
        <v>4</v>
      </c>
      <c r="L118" t="s">
        <v>25</v>
      </c>
      <c r="M118" t="s">
        <v>62</v>
      </c>
      <c r="N118" t="s">
        <v>62</v>
      </c>
    </row>
    <row r="119" spans="1:14" x14ac:dyDescent="0.2">
      <c r="A119" t="s">
        <v>14</v>
      </c>
      <c r="B119" t="s">
        <v>15</v>
      </c>
      <c r="C119" t="s">
        <v>60</v>
      </c>
      <c r="D119" t="s">
        <v>61</v>
      </c>
      <c r="E119" t="s">
        <v>43</v>
      </c>
      <c r="F119" t="s">
        <v>19</v>
      </c>
      <c r="G119">
        <v>5</v>
      </c>
      <c r="H119" t="s">
        <v>20</v>
      </c>
      <c r="I119" t="s">
        <v>21</v>
      </c>
      <c r="J119" t="s">
        <v>22</v>
      </c>
      <c r="K119">
        <v>5</v>
      </c>
      <c r="L119" t="s">
        <v>25</v>
      </c>
      <c r="M119" t="s">
        <v>62</v>
      </c>
      <c r="N119" t="s">
        <v>62</v>
      </c>
    </row>
    <row r="120" spans="1:14" x14ac:dyDescent="0.2">
      <c r="A120" t="s">
        <v>14</v>
      </c>
      <c r="B120" t="s">
        <v>15</v>
      </c>
      <c r="C120" t="s">
        <v>60</v>
      </c>
      <c r="D120" t="s">
        <v>61</v>
      </c>
      <c r="E120" t="s">
        <v>43</v>
      </c>
      <c r="F120" t="s">
        <v>19</v>
      </c>
      <c r="G120">
        <v>5</v>
      </c>
      <c r="H120" t="s">
        <v>20</v>
      </c>
      <c r="I120" t="s">
        <v>21</v>
      </c>
      <c r="J120" t="s">
        <v>22</v>
      </c>
      <c r="K120">
        <v>6</v>
      </c>
      <c r="L120" t="s">
        <v>25</v>
      </c>
      <c r="M120" t="s">
        <v>62</v>
      </c>
      <c r="N120" t="s">
        <v>62</v>
      </c>
    </row>
    <row r="121" spans="1:14" x14ac:dyDescent="0.2">
      <c r="A121" t="s">
        <v>14</v>
      </c>
      <c r="B121" t="s">
        <v>15</v>
      </c>
      <c r="C121" t="s">
        <v>60</v>
      </c>
      <c r="D121" t="s">
        <v>61</v>
      </c>
      <c r="E121" t="s">
        <v>43</v>
      </c>
      <c r="F121" t="s">
        <v>19</v>
      </c>
      <c r="G121">
        <v>5</v>
      </c>
      <c r="H121" t="s">
        <v>20</v>
      </c>
      <c r="I121" t="s">
        <v>21</v>
      </c>
      <c r="J121" t="s">
        <v>22</v>
      </c>
      <c r="K121">
        <v>7</v>
      </c>
      <c r="L121" t="s">
        <v>23</v>
      </c>
      <c r="M121" t="s">
        <v>62</v>
      </c>
      <c r="N121" t="s">
        <v>62</v>
      </c>
    </row>
    <row r="122" spans="1:14" x14ac:dyDescent="0.2">
      <c r="A122" t="s">
        <v>14</v>
      </c>
      <c r="B122" t="s">
        <v>15</v>
      </c>
      <c r="C122" t="s">
        <v>60</v>
      </c>
      <c r="D122" t="s">
        <v>61</v>
      </c>
      <c r="E122" t="s">
        <v>43</v>
      </c>
      <c r="F122" t="s">
        <v>19</v>
      </c>
      <c r="G122">
        <v>5</v>
      </c>
      <c r="H122" t="s">
        <v>20</v>
      </c>
      <c r="I122" t="s">
        <v>21</v>
      </c>
      <c r="J122" t="s">
        <v>22</v>
      </c>
      <c r="K122">
        <v>8</v>
      </c>
      <c r="L122" t="s">
        <v>25</v>
      </c>
      <c r="M122" t="s">
        <v>62</v>
      </c>
      <c r="N122" t="s">
        <v>62</v>
      </c>
    </row>
    <row r="123" spans="1:14" x14ac:dyDescent="0.2">
      <c r="A123" t="s">
        <v>14</v>
      </c>
      <c r="B123" t="s">
        <v>15</v>
      </c>
      <c r="C123" t="s">
        <v>60</v>
      </c>
      <c r="D123" t="s">
        <v>61</v>
      </c>
      <c r="E123" t="s">
        <v>43</v>
      </c>
      <c r="F123" t="s">
        <v>19</v>
      </c>
      <c r="G123">
        <v>5</v>
      </c>
      <c r="H123" t="s">
        <v>20</v>
      </c>
      <c r="I123" t="s">
        <v>21</v>
      </c>
      <c r="J123" t="s">
        <v>22</v>
      </c>
      <c r="K123">
        <v>9</v>
      </c>
      <c r="L123" t="s">
        <v>25</v>
      </c>
      <c r="M123" t="s">
        <v>62</v>
      </c>
      <c r="N123" t="s">
        <v>62</v>
      </c>
    </row>
    <row r="124" spans="1:14" x14ac:dyDescent="0.2">
      <c r="A124" t="s">
        <v>14</v>
      </c>
      <c r="B124" t="s">
        <v>15</v>
      </c>
      <c r="C124" t="s">
        <v>63</v>
      </c>
      <c r="D124" t="s">
        <v>61</v>
      </c>
      <c r="E124" t="s">
        <v>43</v>
      </c>
      <c r="F124" t="s">
        <v>19</v>
      </c>
      <c r="G124">
        <v>5</v>
      </c>
      <c r="H124" t="s">
        <v>20</v>
      </c>
      <c r="I124" t="s">
        <v>21</v>
      </c>
      <c r="J124" t="s">
        <v>22</v>
      </c>
      <c r="K124">
        <v>1</v>
      </c>
      <c r="L124" t="s">
        <v>25</v>
      </c>
      <c r="M124" t="s">
        <v>52</v>
      </c>
      <c r="N124" t="s">
        <v>52</v>
      </c>
    </row>
    <row r="125" spans="1:14" x14ac:dyDescent="0.2">
      <c r="A125" t="s">
        <v>14</v>
      </c>
      <c r="B125" t="s">
        <v>15</v>
      </c>
      <c r="C125" t="s">
        <v>63</v>
      </c>
      <c r="D125" t="s">
        <v>61</v>
      </c>
      <c r="E125" t="s">
        <v>43</v>
      </c>
      <c r="F125" t="s">
        <v>19</v>
      </c>
      <c r="G125">
        <v>5</v>
      </c>
      <c r="H125" t="s">
        <v>20</v>
      </c>
      <c r="I125" t="s">
        <v>21</v>
      </c>
      <c r="J125" t="s">
        <v>22</v>
      </c>
      <c r="K125">
        <v>2</v>
      </c>
      <c r="L125" t="s">
        <v>23</v>
      </c>
      <c r="M125" t="s">
        <v>52</v>
      </c>
      <c r="N125" t="s">
        <v>52</v>
      </c>
    </row>
    <row r="126" spans="1:14" x14ac:dyDescent="0.2">
      <c r="A126" t="s">
        <v>14</v>
      </c>
      <c r="B126" t="s">
        <v>15</v>
      </c>
      <c r="C126" t="s">
        <v>63</v>
      </c>
      <c r="D126" t="s">
        <v>61</v>
      </c>
      <c r="E126" t="s">
        <v>43</v>
      </c>
      <c r="F126" t="s">
        <v>19</v>
      </c>
      <c r="G126">
        <v>5</v>
      </c>
      <c r="H126" t="s">
        <v>20</v>
      </c>
      <c r="I126" t="s">
        <v>21</v>
      </c>
      <c r="J126" t="s">
        <v>22</v>
      </c>
      <c r="K126">
        <v>3</v>
      </c>
      <c r="L126" t="s">
        <v>25</v>
      </c>
      <c r="M126" t="s">
        <v>52</v>
      </c>
      <c r="N126" t="s">
        <v>52</v>
      </c>
    </row>
    <row r="127" spans="1:14" x14ac:dyDescent="0.2">
      <c r="A127" t="s">
        <v>14</v>
      </c>
      <c r="B127" t="s">
        <v>15</v>
      </c>
      <c r="C127" t="s">
        <v>63</v>
      </c>
      <c r="D127" t="s">
        <v>61</v>
      </c>
      <c r="E127" t="s">
        <v>43</v>
      </c>
      <c r="F127" t="s">
        <v>19</v>
      </c>
      <c r="G127">
        <v>5</v>
      </c>
      <c r="H127" t="s">
        <v>20</v>
      </c>
      <c r="I127" t="s">
        <v>21</v>
      </c>
      <c r="J127" t="s">
        <v>22</v>
      </c>
      <c r="K127">
        <v>4</v>
      </c>
      <c r="L127" t="s">
        <v>23</v>
      </c>
      <c r="M127" t="s">
        <v>52</v>
      </c>
      <c r="N127" t="s">
        <v>52</v>
      </c>
    </row>
    <row r="128" spans="1:14" x14ac:dyDescent="0.2">
      <c r="A128" t="s">
        <v>14</v>
      </c>
      <c r="B128" t="s">
        <v>15</v>
      </c>
      <c r="C128" t="s">
        <v>63</v>
      </c>
      <c r="D128" t="s">
        <v>61</v>
      </c>
      <c r="E128" t="s">
        <v>43</v>
      </c>
      <c r="F128" t="s">
        <v>19</v>
      </c>
      <c r="G128">
        <v>5</v>
      </c>
      <c r="H128" t="s">
        <v>20</v>
      </c>
      <c r="I128" t="s">
        <v>21</v>
      </c>
      <c r="J128" t="s">
        <v>22</v>
      </c>
      <c r="K128">
        <v>5</v>
      </c>
      <c r="L128" t="s">
        <v>25</v>
      </c>
      <c r="M128" t="s">
        <v>52</v>
      </c>
      <c r="N128" t="s">
        <v>52</v>
      </c>
    </row>
    <row r="129" spans="1:14" x14ac:dyDescent="0.2">
      <c r="A129" t="s">
        <v>14</v>
      </c>
      <c r="B129" t="s">
        <v>15</v>
      </c>
      <c r="C129" t="s">
        <v>63</v>
      </c>
      <c r="D129" t="s">
        <v>61</v>
      </c>
      <c r="E129" t="s">
        <v>43</v>
      </c>
      <c r="F129" t="s">
        <v>19</v>
      </c>
      <c r="G129">
        <v>5</v>
      </c>
      <c r="H129" t="s">
        <v>20</v>
      </c>
      <c r="I129" t="s">
        <v>21</v>
      </c>
      <c r="J129" t="s">
        <v>22</v>
      </c>
      <c r="K129">
        <v>6</v>
      </c>
      <c r="L129" t="s">
        <v>25</v>
      </c>
      <c r="M129" t="s">
        <v>52</v>
      </c>
      <c r="N129" t="s">
        <v>52</v>
      </c>
    </row>
    <row r="130" spans="1:14" x14ac:dyDescent="0.2">
      <c r="A130" t="s">
        <v>14</v>
      </c>
      <c r="B130" t="s">
        <v>15</v>
      </c>
      <c r="C130" t="s">
        <v>63</v>
      </c>
      <c r="D130" t="s">
        <v>61</v>
      </c>
      <c r="E130" t="s">
        <v>43</v>
      </c>
      <c r="F130" t="s">
        <v>19</v>
      </c>
      <c r="G130">
        <v>5</v>
      </c>
      <c r="H130" t="s">
        <v>20</v>
      </c>
      <c r="I130" t="s">
        <v>21</v>
      </c>
      <c r="J130" t="s">
        <v>22</v>
      </c>
      <c r="K130">
        <v>7</v>
      </c>
      <c r="L130" t="s">
        <v>23</v>
      </c>
      <c r="M130" t="s">
        <v>52</v>
      </c>
      <c r="N130" t="s">
        <v>52</v>
      </c>
    </row>
    <row r="131" spans="1:14" x14ac:dyDescent="0.2">
      <c r="A131" t="s">
        <v>14</v>
      </c>
      <c r="B131" t="s">
        <v>15</v>
      </c>
      <c r="C131" t="s">
        <v>64</v>
      </c>
      <c r="D131" t="s">
        <v>56</v>
      </c>
      <c r="E131" t="s">
        <v>18</v>
      </c>
      <c r="F131" t="s">
        <v>19</v>
      </c>
      <c r="G131">
        <v>5</v>
      </c>
      <c r="H131" t="s">
        <v>20</v>
      </c>
      <c r="I131" t="s">
        <v>21</v>
      </c>
      <c r="J131" t="s">
        <v>22</v>
      </c>
      <c r="K131">
        <v>1</v>
      </c>
      <c r="L131" t="s">
        <v>25</v>
      </c>
      <c r="M131" t="s">
        <v>52</v>
      </c>
      <c r="N131" t="s">
        <v>52</v>
      </c>
    </row>
    <row r="132" spans="1:14" x14ac:dyDescent="0.2">
      <c r="A132" t="s">
        <v>14</v>
      </c>
      <c r="B132" t="s">
        <v>15</v>
      </c>
      <c r="C132" t="s">
        <v>64</v>
      </c>
      <c r="D132" t="s">
        <v>56</v>
      </c>
      <c r="E132" t="s">
        <v>18</v>
      </c>
      <c r="F132" t="s">
        <v>19</v>
      </c>
      <c r="G132">
        <v>5</v>
      </c>
      <c r="H132" t="s">
        <v>20</v>
      </c>
      <c r="I132" t="s">
        <v>21</v>
      </c>
      <c r="J132" t="s">
        <v>22</v>
      </c>
      <c r="K132">
        <v>2</v>
      </c>
      <c r="L132" t="s">
        <v>23</v>
      </c>
      <c r="M132" t="s">
        <v>52</v>
      </c>
      <c r="N132" t="s">
        <v>52</v>
      </c>
    </row>
    <row r="133" spans="1:14" x14ac:dyDescent="0.2">
      <c r="A133" t="s">
        <v>14</v>
      </c>
      <c r="B133" t="s">
        <v>15</v>
      </c>
      <c r="C133" t="s">
        <v>64</v>
      </c>
      <c r="D133" t="s">
        <v>56</v>
      </c>
      <c r="E133" t="s">
        <v>18</v>
      </c>
      <c r="F133" t="s">
        <v>19</v>
      </c>
      <c r="G133">
        <v>5</v>
      </c>
      <c r="H133" t="s">
        <v>20</v>
      </c>
      <c r="I133" t="s">
        <v>21</v>
      </c>
      <c r="J133" t="s">
        <v>22</v>
      </c>
      <c r="K133">
        <v>3</v>
      </c>
      <c r="L133" t="s">
        <v>23</v>
      </c>
      <c r="M133" t="s">
        <v>52</v>
      </c>
      <c r="N133" t="s">
        <v>52</v>
      </c>
    </row>
    <row r="134" spans="1:14" x14ac:dyDescent="0.2">
      <c r="A134" t="s">
        <v>14</v>
      </c>
      <c r="B134" t="s">
        <v>15</v>
      </c>
      <c r="C134" t="s">
        <v>64</v>
      </c>
      <c r="D134" t="s">
        <v>56</v>
      </c>
      <c r="E134" t="s">
        <v>18</v>
      </c>
      <c r="F134" t="s">
        <v>19</v>
      </c>
      <c r="G134">
        <v>5</v>
      </c>
      <c r="H134" t="s">
        <v>20</v>
      </c>
      <c r="I134" t="s">
        <v>21</v>
      </c>
      <c r="J134" t="s">
        <v>22</v>
      </c>
      <c r="K134">
        <v>4</v>
      </c>
      <c r="L134" t="s">
        <v>25</v>
      </c>
      <c r="M134" t="s">
        <v>52</v>
      </c>
      <c r="N134" t="s">
        <v>52</v>
      </c>
    </row>
    <row r="135" spans="1:14" x14ac:dyDescent="0.2">
      <c r="A135" t="s">
        <v>14</v>
      </c>
      <c r="B135" t="s">
        <v>15</v>
      </c>
      <c r="C135" t="s">
        <v>64</v>
      </c>
      <c r="D135" t="s">
        <v>56</v>
      </c>
      <c r="E135" t="s">
        <v>18</v>
      </c>
      <c r="F135" t="s">
        <v>19</v>
      </c>
      <c r="G135">
        <v>5</v>
      </c>
      <c r="H135" t="s">
        <v>20</v>
      </c>
      <c r="I135" t="s">
        <v>21</v>
      </c>
      <c r="J135" t="s">
        <v>22</v>
      </c>
      <c r="K135">
        <v>5</v>
      </c>
      <c r="L135" t="s">
        <v>25</v>
      </c>
      <c r="M135" t="s">
        <v>52</v>
      </c>
      <c r="N135" t="s">
        <v>52</v>
      </c>
    </row>
    <row r="136" spans="1:14" x14ac:dyDescent="0.2">
      <c r="A136" t="s">
        <v>14</v>
      </c>
      <c r="B136" t="s">
        <v>15</v>
      </c>
      <c r="C136" t="s">
        <v>64</v>
      </c>
      <c r="D136" t="s">
        <v>56</v>
      </c>
      <c r="E136" t="s">
        <v>18</v>
      </c>
      <c r="F136" t="s">
        <v>19</v>
      </c>
      <c r="G136">
        <v>5</v>
      </c>
      <c r="H136" t="s">
        <v>20</v>
      </c>
      <c r="I136" t="s">
        <v>21</v>
      </c>
      <c r="J136" t="s">
        <v>22</v>
      </c>
      <c r="K136">
        <v>6</v>
      </c>
      <c r="L136" t="s">
        <v>25</v>
      </c>
      <c r="M136" t="s">
        <v>52</v>
      </c>
      <c r="N136" t="s">
        <v>52</v>
      </c>
    </row>
    <row r="137" spans="1:14" x14ac:dyDescent="0.2">
      <c r="A137" t="s">
        <v>14</v>
      </c>
      <c r="B137" t="s">
        <v>15</v>
      </c>
      <c r="C137" t="s">
        <v>64</v>
      </c>
      <c r="D137" t="s">
        <v>56</v>
      </c>
      <c r="E137" t="s">
        <v>18</v>
      </c>
      <c r="F137" t="s">
        <v>19</v>
      </c>
      <c r="G137">
        <v>5</v>
      </c>
      <c r="H137" t="s">
        <v>20</v>
      </c>
      <c r="I137" t="s">
        <v>21</v>
      </c>
      <c r="J137" t="s">
        <v>22</v>
      </c>
      <c r="K137">
        <v>7</v>
      </c>
      <c r="L137" t="s">
        <v>23</v>
      </c>
      <c r="M137" t="s">
        <v>52</v>
      </c>
      <c r="N137" t="s">
        <v>52</v>
      </c>
    </row>
    <row r="138" spans="1:14" x14ac:dyDescent="0.2">
      <c r="A138" t="s">
        <v>14</v>
      </c>
      <c r="B138" t="s">
        <v>15</v>
      </c>
      <c r="C138" t="s">
        <v>65</v>
      </c>
      <c r="D138" t="s">
        <v>61</v>
      </c>
      <c r="E138" t="s">
        <v>43</v>
      </c>
      <c r="F138" t="s">
        <v>19</v>
      </c>
      <c r="G138">
        <v>5</v>
      </c>
      <c r="H138" t="s">
        <v>20</v>
      </c>
      <c r="I138" t="s">
        <v>21</v>
      </c>
      <c r="J138" t="s">
        <v>22</v>
      </c>
      <c r="K138">
        <v>1</v>
      </c>
      <c r="L138" t="s">
        <v>23</v>
      </c>
      <c r="M138" t="s">
        <v>66</v>
      </c>
      <c r="N138" t="s">
        <v>66</v>
      </c>
    </row>
    <row r="139" spans="1:14" x14ac:dyDescent="0.2">
      <c r="A139" t="s">
        <v>14</v>
      </c>
      <c r="B139" t="s">
        <v>15</v>
      </c>
      <c r="C139" t="s">
        <v>65</v>
      </c>
      <c r="D139" t="s">
        <v>61</v>
      </c>
      <c r="E139" t="s">
        <v>43</v>
      </c>
      <c r="F139" t="s">
        <v>19</v>
      </c>
      <c r="G139">
        <v>5</v>
      </c>
      <c r="H139" t="s">
        <v>20</v>
      </c>
      <c r="I139" t="s">
        <v>21</v>
      </c>
      <c r="J139" t="s">
        <v>22</v>
      </c>
      <c r="K139">
        <v>2</v>
      </c>
      <c r="L139" t="s">
        <v>25</v>
      </c>
      <c r="M139" t="s">
        <v>66</v>
      </c>
      <c r="N139" t="s">
        <v>66</v>
      </c>
    </row>
    <row r="140" spans="1:14" x14ac:dyDescent="0.2">
      <c r="A140" t="s">
        <v>14</v>
      </c>
      <c r="B140" t="s">
        <v>15</v>
      </c>
      <c r="C140" t="s">
        <v>65</v>
      </c>
      <c r="D140" t="s">
        <v>61</v>
      </c>
      <c r="E140" t="s">
        <v>43</v>
      </c>
      <c r="F140" t="s">
        <v>19</v>
      </c>
      <c r="G140">
        <v>5</v>
      </c>
      <c r="H140" t="s">
        <v>20</v>
      </c>
      <c r="I140" t="s">
        <v>21</v>
      </c>
      <c r="J140" t="s">
        <v>22</v>
      </c>
      <c r="K140">
        <v>3</v>
      </c>
      <c r="L140" t="s">
        <v>25</v>
      </c>
      <c r="M140" t="s">
        <v>66</v>
      </c>
      <c r="N140" t="s">
        <v>66</v>
      </c>
    </row>
    <row r="141" spans="1:14" x14ac:dyDescent="0.2">
      <c r="A141" t="s">
        <v>14</v>
      </c>
      <c r="B141" t="s">
        <v>15</v>
      </c>
      <c r="C141" t="s">
        <v>65</v>
      </c>
      <c r="D141" t="s">
        <v>61</v>
      </c>
      <c r="E141" t="s">
        <v>43</v>
      </c>
      <c r="F141" t="s">
        <v>19</v>
      </c>
      <c r="G141">
        <v>5</v>
      </c>
      <c r="H141" t="s">
        <v>20</v>
      </c>
      <c r="I141" t="s">
        <v>21</v>
      </c>
      <c r="J141" t="s">
        <v>22</v>
      </c>
      <c r="K141">
        <v>4</v>
      </c>
      <c r="L141" t="s">
        <v>25</v>
      </c>
      <c r="M141" t="s">
        <v>66</v>
      </c>
      <c r="N141" t="s">
        <v>66</v>
      </c>
    </row>
    <row r="142" spans="1:14" x14ac:dyDescent="0.2">
      <c r="A142" t="s">
        <v>14</v>
      </c>
      <c r="B142" t="s">
        <v>15</v>
      </c>
      <c r="C142" t="s">
        <v>65</v>
      </c>
      <c r="D142" t="s">
        <v>61</v>
      </c>
      <c r="E142" t="s">
        <v>43</v>
      </c>
      <c r="F142" t="s">
        <v>19</v>
      </c>
      <c r="G142">
        <v>5</v>
      </c>
      <c r="H142" t="s">
        <v>20</v>
      </c>
      <c r="I142" t="s">
        <v>21</v>
      </c>
      <c r="J142" t="s">
        <v>22</v>
      </c>
      <c r="K142">
        <v>5</v>
      </c>
      <c r="L142" t="s">
        <v>25</v>
      </c>
      <c r="M142" t="s">
        <v>66</v>
      </c>
      <c r="N142" t="s">
        <v>66</v>
      </c>
    </row>
    <row r="143" spans="1:14" x14ac:dyDescent="0.2">
      <c r="A143" t="s">
        <v>14</v>
      </c>
      <c r="B143" t="s">
        <v>15</v>
      </c>
      <c r="C143" t="s">
        <v>65</v>
      </c>
      <c r="D143" t="s">
        <v>61</v>
      </c>
      <c r="E143" t="s">
        <v>43</v>
      </c>
      <c r="F143" t="s">
        <v>19</v>
      </c>
      <c r="G143">
        <v>5</v>
      </c>
      <c r="H143" t="s">
        <v>20</v>
      </c>
      <c r="I143" t="s">
        <v>21</v>
      </c>
      <c r="J143" t="s">
        <v>22</v>
      </c>
      <c r="K143">
        <v>6</v>
      </c>
      <c r="L143" t="s">
        <v>23</v>
      </c>
      <c r="M143" t="s">
        <v>66</v>
      </c>
      <c r="N143" t="s">
        <v>66</v>
      </c>
    </row>
    <row r="144" spans="1:14" x14ac:dyDescent="0.2">
      <c r="A144" t="s">
        <v>14</v>
      </c>
      <c r="B144" t="s">
        <v>15</v>
      </c>
      <c r="C144" t="s">
        <v>65</v>
      </c>
      <c r="D144" t="s">
        <v>61</v>
      </c>
      <c r="E144" t="s">
        <v>43</v>
      </c>
      <c r="F144" t="s">
        <v>19</v>
      </c>
      <c r="G144">
        <v>5</v>
      </c>
      <c r="H144" t="s">
        <v>20</v>
      </c>
      <c r="I144" t="s">
        <v>21</v>
      </c>
      <c r="J144" t="s">
        <v>22</v>
      </c>
      <c r="K144">
        <v>7</v>
      </c>
      <c r="L144" t="s">
        <v>25</v>
      </c>
      <c r="M144" t="s">
        <v>66</v>
      </c>
      <c r="N144" t="s">
        <v>66</v>
      </c>
    </row>
    <row r="145" spans="1:14" x14ac:dyDescent="0.2">
      <c r="A145" t="s">
        <v>14</v>
      </c>
      <c r="B145" t="s">
        <v>15</v>
      </c>
      <c r="C145" t="s">
        <v>65</v>
      </c>
      <c r="D145" t="s">
        <v>61</v>
      </c>
      <c r="E145" t="s">
        <v>43</v>
      </c>
      <c r="F145" t="s">
        <v>19</v>
      </c>
      <c r="G145">
        <v>5</v>
      </c>
      <c r="H145" t="s">
        <v>20</v>
      </c>
      <c r="I145" t="s">
        <v>21</v>
      </c>
      <c r="J145" t="s">
        <v>22</v>
      </c>
      <c r="K145">
        <v>8</v>
      </c>
      <c r="L145" t="s">
        <v>25</v>
      </c>
      <c r="M145" t="s">
        <v>66</v>
      </c>
      <c r="N145" t="s">
        <v>66</v>
      </c>
    </row>
    <row r="146" spans="1:14" x14ac:dyDescent="0.2">
      <c r="A146" t="s">
        <v>14</v>
      </c>
      <c r="B146" t="s">
        <v>15</v>
      </c>
      <c r="C146" t="s">
        <v>65</v>
      </c>
      <c r="D146" t="s">
        <v>61</v>
      </c>
      <c r="E146" t="s">
        <v>43</v>
      </c>
      <c r="F146" t="s">
        <v>19</v>
      </c>
      <c r="G146">
        <v>5</v>
      </c>
      <c r="H146" t="s">
        <v>20</v>
      </c>
      <c r="I146" t="s">
        <v>21</v>
      </c>
      <c r="J146" t="s">
        <v>22</v>
      </c>
      <c r="K146">
        <v>9</v>
      </c>
      <c r="L146" t="s">
        <v>25</v>
      </c>
      <c r="M146" t="s">
        <v>66</v>
      </c>
      <c r="N146" t="s">
        <v>66</v>
      </c>
    </row>
    <row r="147" spans="1:14" x14ac:dyDescent="0.2">
      <c r="A147" t="s">
        <v>14</v>
      </c>
      <c r="B147" t="s">
        <v>15</v>
      </c>
      <c r="C147" t="s">
        <v>65</v>
      </c>
      <c r="D147" t="s">
        <v>61</v>
      </c>
      <c r="E147" t="s">
        <v>43</v>
      </c>
      <c r="F147" t="s">
        <v>19</v>
      </c>
      <c r="G147">
        <v>5</v>
      </c>
      <c r="H147" t="s">
        <v>20</v>
      </c>
      <c r="I147" t="s">
        <v>21</v>
      </c>
      <c r="J147" t="s">
        <v>22</v>
      </c>
      <c r="K147">
        <v>10</v>
      </c>
      <c r="L147" t="s">
        <v>25</v>
      </c>
      <c r="M147" t="s">
        <v>66</v>
      </c>
      <c r="N147" t="s">
        <v>66</v>
      </c>
    </row>
    <row r="148" spans="1:14" x14ac:dyDescent="0.2">
      <c r="A148" t="s">
        <v>14</v>
      </c>
      <c r="B148" t="s">
        <v>15</v>
      </c>
      <c r="C148" t="s">
        <v>65</v>
      </c>
      <c r="D148" t="s">
        <v>61</v>
      </c>
      <c r="E148" t="s">
        <v>43</v>
      </c>
      <c r="F148" t="s">
        <v>19</v>
      </c>
      <c r="G148">
        <v>5</v>
      </c>
      <c r="H148" t="s">
        <v>20</v>
      </c>
      <c r="I148" t="s">
        <v>21</v>
      </c>
      <c r="J148" t="s">
        <v>22</v>
      </c>
      <c r="K148">
        <v>11</v>
      </c>
      <c r="L148" t="s">
        <v>25</v>
      </c>
      <c r="M148" t="s">
        <v>66</v>
      </c>
      <c r="N148" t="s">
        <v>66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03EA-F73B-5541-AEFB-4F8D0D24C570}">
  <dimension ref="A1:N148"/>
  <sheetViews>
    <sheetView topLeftCell="A2" zoomScale="60" workbookViewId="0"/>
  </sheetViews>
  <sheetFormatPr baseColWidth="10" defaultColWidth="8.83203125" defaultRowHeight="15" x14ac:dyDescent="0.2"/>
  <cols>
    <col min="1" max="1" width="14" customWidth="1"/>
    <col min="2" max="2" width="42" customWidth="1"/>
    <col min="3" max="3" width="22" customWidth="1"/>
    <col min="4" max="5" width="14" customWidth="1"/>
    <col min="6" max="7" width="16" customWidth="1"/>
    <col min="8" max="8" width="12" customWidth="1"/>
    <col min="9" max="9" width="52" customWidth="1"/>
    <col min="10" max="10" width="90" customWidth="1"/>
    <col min="11" max="12" width="12" customWidth="1"/>
    <col min="13" max="14" width="18"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v>
      </c>
      <c r="B2" t="s">
        <v>15</v>
      </c>
      <c r="C2" s="4">
        <v>46056</v>
      </c>
      <c r="D2">
        <v>3</v>
      </c>
      <c r="E2" t="s">
        <v>18</v>
      </c>
      <c r="F2" s="3">
        <v>0.85</v>
      </c>
      <c r="G2">
        <v>5</v>
      </c>
      <c r="H2" t="s">
        <v>20</v>
      </c>
      <c r="I2" t="s">
        <v>21</v>
      </c>
      <c r="J2" t="s">
        <v>22</v>
      </c>
      <c r="K2">
        <v>1</v>
      </c>
      <c r="L2" t="s">
        <v>23</v>
      </c>
      <c r="M2" s="2">
        <v>0.71430000000000005</v>
      </c>
      <c r="N2" s="2">
        <v>0.71430000000000005</v>
      </c>
    </row>
    <row r="3" spans="1:14" x14ac:dyDescent="0.2">
      <c r="A3" t="s">
        <v>14</v>
      </c>
      <c r="B3" t="s">
        <v>15</v>
      </c>
      <c r="C3" s="4">
        <v>46056</v>
      </c>
      <c r="D3">
        <v>3</v>
      </c>
      <c r="E3" t="s">
        <v>18</v>
      </c>
      <c r="F3" s="3">
        <v>0.85</v>
      </c>
      <c r="G3">
        <v>5</v>
      </c>
      <c r="H3" t="s">
        <v>20</v>
      </c>
      <c r="I3" t="s">
        <v>21</v>
      </c>
      <c r="J3" t="s">
        <v>22</v>
      </c>
      <c r="K3">
        <v>2</v>
      </c>
      <c r="L3" t="s">
        <v>25</v>
      </c>
      <c r="M3" s="2">
        <v>0.71430000000000005</v>
      </c>
      <c r="N3" s="2">
        <v>0.71430000000000005</v>
      </c>
    </row>
    <row r="4" spans="1:14" x14ac:dyDescent="0.2">
      <c r="A4" t="s">
        <v>14</v>
      </c>
      <c r="B4" t="s">
        <v>15</v>
      </c>
      <c r="C4" s="4">
        <v>46056</v>
      </c>
      <c r="D4">
        <v>3</v>
      </c>
      <c r="E4" t="s">
        <v>18</v>
      </c>
      <c r="F4" s="3">
        <v>0.85</v>
      </c>
      <c r="G4">
        <v>5</v>
      </c>
      <c r="H4" t="s">
        <v>20</v>
      </c>
      <c r="I4" t="s">
        <v>21</v>
      </c>
      <c r="J4" t="s">
        <v>22</v>
      </c>
      <c r="K4">
        <v>3</v>
      </c>
      <c r="L4" t="s">
        <v>23</v>
      </c>
      <c r="M4" s="2">
        <v>0.71430000000000005</v>
      </c>
      <c r="N4" s="2">
        <v>0.71430000000000005</v>
      </c>
    </row>
    <row r="5" spans="1:14" x14ac:dyDescent="0.2">
      <c r="A5" t="s">
        <v>14</v>
      </c>
      <c r="B5" t="s">
        <v>15</v>
      </c>
      <c r="C5" s="4">
        <v>46056</v>
      </c>
      <c r="D5">
        <v>3</v>
      </c>
      <c r="E5" t="s">
        <v>18</v>
      </c>
      <c r="F5" s="3">
        <v>0.85</v>
      </c>
      <c r="G5">
        <v>5</v>
      </c>
      <c r="H5" t="s">
        <v>20</v>
      </c>
      <c r="I5" t="s">
        <v>21</v>
      </c>
      <c r="J5" t="s">
        <v>22</v>
      </c>
      <c r="K5">
        <v>4</v>
      </c>
      <c r="L5" t="s">
        <v>25</v>
      </c>
      <c r="M5" s="2">
        <v>0.71430000000000005</v>
      </c>
      <c r="N5" s="2">
        <v>0.71430000000000005</v>
      </c>
    </row>
    <row r="6" spans="1:14" x14ac:dyDescent="0.2">
      <c r="A6" t="s">
        <v>14</v>
      </c>
      <c r="B6" t="s">
        <v>15</v>
      </c>
      <c r="C6" s="4">
        <v>46056</v>
      </c>
      <c r="D6">
        <v>3</v>
      </c>
      <c r="E6" t="s">
        <v>18</v>
      </c>
      <c r="F6" s="3">
        <v>0.85</v>
      </c>
      <c r="G6">
        <v>5</v>
      </c>
      <c r="H6" t="s">
        <v>20</v>
      </c>
      <c r="I6" t="s">
        <v>21</v>
      </c>
      <c r="J6" t="s">
        <v>22</v>
      </c>
      <c r="K6">
        <v>5</v>
      </c>
      <c r="L6" t="s">
        <v>25</v>
      </c>
      <c r="M6" s="2">
        <v>0.71430000000000005</v>
      </c>
      <c r="N6" s="2">
        <v>0.71430000000000005</v>
      </c>
    </row>
    <row r="7" spans="1:14" x14ac:dyDescent="0.2">
      <c r="A7" t="s">
        <v>14</v>
      </c>
      <c r="B7" t="s">
        <v>15</v>
      </c>
      <c r="C7" s="4">
        <v>46056</v>
      </c>
      <c r="D7">
        <v>3</v>
      </c>
      <c r="E7" t="s">
        <v>18</v>
      </c>
      <c r="F7" s="3">
        <v>0.85</v>
      </c>
      <c r="G7">
        <v>5</v>
      </c>
      <c r="H7" t="s">
        <v>20</v>
      </c>
      <c r="I7" t="s">
        <v>21</v>
      </c>
      <c r="J7" t="s">
        <v>22</v>
      </c>
      <c r="K7">
        <v>6</v>
      </c>
      <c r="L7" t="s">
        <v>25</v>
      </c>
      <c r="M7" s="2">
        <v>0.71430000000000005</v>
      </c>
      <c r="N7" s="2">
        <v>0.71430000000000005</v>
      </c>
    </row>
    <row r="8" spans="1:14" x14ac:dyDescent="0.2">
      <c r="A8" t="s">
        <v>14</v>
      </c>
      <c r="B8" t="s">
        <v>15</v>
      </c>
      <c r="C8" s="4">
        <v>46056</v>
      </c>
      <c r="D8">
        <v>3</v>
      </c>
      <c r="E8" t="s">
        <v>18</v>
      </c>
      <c r="F8" s="3">
        <v>0.85</v>
      </c>
      <c r="G8">
        <v>5</v>
      </c>
      <c r="H8" t="s">
        <v>20</v>
      </c>
      <c r="I8" t="s">
        <v>21</v>
      </c>
      <c r="J8" t="s">
        <v>22</v>
      </c>
      <c r="K8">
        <v>7</v>
      </c>
      <c r="L8" t="s">
        <v>25</v>
      </c>
      <c r="M8" s="2">
        <v>0.71430000000000005</v>
      </c>
      <c r="N8" s="2">
        <v>0.71430000000000005</v>
      </c>
    </row>
    <row r="9" spans="1:14" x14ac:dyDescent="0.2">
      <c r="A9" t="s">
        <v>14</v>
      </c>
      <c r="B9" t="s">
        <v>15</v>
      </c>
      <c r="C9" s="4">
        <v>46057</v>
      </c>
      <c r="D9">
        <v>5</v>
      </c>
      <c r="E9" t="s">
        <v>18</v>
      </c>
      <c r="F9" s="3">
        <v>0.85</v>
      </c>
      <c r="G9">
        <v>5</v>
      </c>
      <c r="H9" t="s">
        <v>20</v>
      </c>
      <c r="I9" t="s">
        <v>21</v>
      </c>
      <c r="J9" t="s">
        <v>22</v>
      </c>
      <c r="K9">
        <v>1</v>
      </c>
      <c r="L9" t="s">
        <v>25</v>
      </c>
      <c r="M9" s="2">
        <v>0.55559999999999998</v>
      </c>
      <c r="N9" s="2">
        <v>0.55559999999999998</v>
      </c>
    </row>
    <row r="10" spans="1:14" x14ac:dyDescent="0.2">
      <c r="A10" t="s">
        <v>14</v>
      </c>
      <c r="B10" t="s">
        <v>15</v>
      </c>
      <c r="C10" s="4">
        <v>46057</v>
      </c>
      <c r="D10">
        <v>5</v>
      </c>
      <c r="E10" t="s">
        <v>18</v>
      </c>
      <c r="F10" s="3">
        <v>0.85</v>
      </c>
      <c r="G10">
        <v>5</v>
      </c>
      <c r="H10" t="s">
        <v>20</v>
      </c>
      <c r="I10" t="s">
        <v>21</v>
      </c>
      <c r="J10" t="s">
        <v>22</v>
      </c>
      <c r="K10">
        <v>2</v>
      </c>
      <c r="L10" t="s">
        <v>23</v>
      </c>
      <c r="M10" s="2">
        <v>0.55559999999999998</v>
      </c>
      <c r="N10" s="2">
        <v>0.55559999999999998</v>
      </c>
    </row>
    <row r="11" spans="1:14" x14ac:dyDescent="0.2">
      <c r="A11" t="s">
        <v>14</v>
      </c>
      <c r="B11" t="s">
        <v>15</v>
      </c>
      <c r="C11" s="4">
        <v>46057</v>
      </c>
      <c r="D11">
        <v>5</v>
      </c>
      <c r="E11" t="s">
        <v>18</v>
      </c>
      <c r="F11" s="3">
        <v>0.85</v>
      </c>
      <c r="G11">
        <v>5</v>
      </c>
      <c r="H11" t="s">
        <v>20</v>
      </c>
      <c r="I11" t="s">
        <v>21</v>
      </c>
      <c r="J11" t="s">
        <v>22</v>
      </c>
      <c r="K11">
        <v>3</v>
      </c>
      <c r="L11" t="s">
        <v>25</v>
      </c>
      <c r="M11" s="2">
        <v>0.55559999999999998</v>
      </c>
      <c r="N11" s="2">
        <v>0.55559999999999998</v>
      </c>
    </row>
    <row r="12" spans="1:14" x14ac:dyDescent="0.2">
      <c r="A12" t="s">
        <v>14</v>
      </c>
      <c r="B12" t="s">
        <v>15</v>
      </c>
      <c r="C12" s="4">
        <v>46057</v>
      </c>
      <c r="D12">
        <v>5</v>
      </c>
      <c r="E12" t="s">
        <v>18</v>
      </c>
      <c r="F12" s="3">
        <v>0.85</v>
      </c>
      <c r="G12">
        <v>5</v>
      </c>
      <c r="H12" t="s">
        <v>20</v>
      </c>
      <c r="I12" t="s">
        <v>21</v>
      </c>
      <c r="J12" t="s">
        <v>22</v>
      </c>
      <c r="K12">
        <v>4</v>
      </c>
      <c r="L12" t="s">
        <v>23</v>
      </c>
      <c r="M12" s="2">
        <v>0.55559999999999998</v>
      </c>
      <c r="N12" s="2">
        <v>0.55559999999999998</v>
      </c>
    </row>
    <row r="13" spans="1:14" x14ac:dyDescent="0.2">
      <c r="A13" t="s">
        <v>14</v>
      </c>
      <c r="B13" t="s">
        <v>15</v>
      </c>
      <c r="C13" s="4">
        <v>46057</v>
      </c>
      <c r="D13">
        <v>5</v>
      </c>
      <c r="E13" t="s">
        <v>18</v>
      </c>
      <c r="F13" s="3">
        <v>0.85</v>
      </c>
      <c r="G13">
        <v>5</v>
      </c>
      <c r="H13" t="s">
        <v>20</v>
      </c>
      <c r="I13" t="s">
        <v>21</v>
      </c>
      <c r="J13" t="s">
        <v>22</v>
      </c>
      <c r="K13">
        <v>5</v>
      </c>
      <c r="L13" t="s">
        <v>23</v>
      </c>
      <c r="M13" s="2">
        <v>0.55559999999999998</v>
      </c>
      <c r="N13" s="2">
        <v>0.55559999999999998</v>
      </c>
    </row>
    <row r="14" spans="1:14" x14ac:dyDescent="0.2">
      <c r="A14" t="s">
        <v>14</v>
      </c>
      <c r="B14" t="s">
        <v>15</v>
      </c>
      <c r="C14" s="4">
        <v>46057</v>
      </c>
      <c r="D14">
        <v>5</v>
      </c>
      <c r="E14" t="s">
        <v>18</v>
      </c>
      <c r="F14" s="3">
        <v>0.85</v>
      </c>
      <c r="G14">
        <v>5</v>
      </c>
      <c r="H14" t="s">
        <v>20</v>
      </c>
      <c r="I14" t="s">
        <v>21</v>
      </c>
      <c r="J14" t="s">
        <v>22</v>
      </c>
      <c r="K14">
        <v>6</v>
      </c>
      <c r="L14" t="s">
        <v>25</v>
      </c>
      <c r="M14" s="2">
        <v>0.55559999999999998</v>
      </c>
      <c r="N14" s="2">
        <v>0.55559999999999998</v>
      </c>
    </row>
    <row r="15" spans="1:14" x14ac:dyDescent="0.2">
      <c r="A15" t="s">
        <v>14</v>
      </c>
      <c r="B15" t="s">
        <v>15</v>
      </c>
      <c r="C15" s="4">
        <v>46057</v>
      </c>
      <c r="D15">
        <v>5</v>
      </c>
      <c r="E15" t="s">
        <v>18</v>
      </c>
      <c r="F15" s="3">
        <v>0.85</v>
      </c>
      <c r="G15">
        <v>5</v>
      </c>
      <c r="H15" t="s">
        <v>20</v>
      </c>
      <c r="I15" t="s">
        <v>21</v>
      </c>
      <c r="J15" t="s">
        <v>22</v>
      </c>
      <c r="K15">
        <v>7</v>
      </c>
      <c r="L15" t="s">
        <v>25</v>
      </c>
      <c r="M15" s="2">
        <v>0.55559999999999998</v>
      </c>
      <c r="N15" s="2">
        <v>0.55559999999999998</v>
      </c>
    </row>
    <row r="16" spans="1:14" x14ac:dyDescent="0.2">
      <c r="A16" t="s">
        <v>14</v>
      </c>
      <c r="B16" t="s">
        <v>15</v>
      </c>
      <c r="C16" s="4">
        <v>46057</v>
      </c>
      <c r="D16">
        <v>5</v>
      </c>
      <c r="E16" t="s">
        <v>18</v>
      </c>
      <c r="F16" s="3">
        <v>0.85</v>
      </c>
      <c r="G16">
        <v>5</v>
      </c>
      <c r="H16" t="s">
        <v>20</v>
      </c>
      <c r="I16" t="s">
        <v>21</v>
      </c>
      <c r="J16" t="s">
        <v>22</v>
      </c>
      <c r="K16">
        <v>8</v>
      </c>
      <c r="L16" t="s">
        <v>23</v>
      </c>
      <c r="M16" s="2">
        <v>0.55559999999999998</v>
      </c>
      <c r="N16" s="2">
        <v>0.55559999999999998</v>
      </c>
    </row>
    <row r="17" spans="1:14" x14ac:dyDescent="0.2">
      <c r="A17" t="s">
        <v>14</v>
      </c>
      <c r="B17" t="s">
        <v>15</v>
      </c>
      <c r="C17" s="4">
        <v>46057</v>
      </c>
      <c r="D17">
        <v>5</v>
      </c>
      <c r="E17" t="s">
        <v>18</v>
      </c>
      <c r="F17" s="3">
        <v>0.85</v>
      </c>
      <c r="G17">
        <v>5</v>
      </c>
      <c r="H17" t="s">
        <v>20</v>
      </c>
      <c r="I17" t="s">
        <v>21</v>
      </c>
      <c r="J17" t="s">
        <v>22</v>
      </c>
      <c r="K17">
        <v>9</v>
      </c>
      <c r="L17" t="s">
        <v>25</v>
      </c>
      <c r="M17" s="2">
        <v>0.55559999999999998</v>
      </c>
      <c r="N17" s="2">
        <v>0.55559999999999998</v>
      </c>
    </row>
    <row r="18" spans="1:14" x14ac:dyDescent="0.2">
      <c r="A18" t="s">
        <v>14</v>
      </c>
      <c r="B18" t="s">
        <v>15</v>
      </c>
      <c r="C18" s="4">
        <v>46058</v>
      </c>
      <c r="D18">
        <v>2</v>
      </c>
      <c r="E18" t="s">
        <v>18</v>
      </c>
      <c r="F18" s="3">
        <v>0.85</v>
      </c>
      <c r="G18">
        <v>5</v>
      </c>
      <c r="H18" t="s">
        <v>20</v>
      </c>
      <c r="I18" t="s">
        <v>21</v>
      </c>
      <c r="J18" t="s">
        <v>22</v>
      </c>
      <c r="K18">
        <v>1</v>
      </c>
      <c r="L18" t="s">
        <v>25</v>
      </c>
      <c r="M18" s="2">
        <v>0.875</v>
      </c>
      <c r="N18" s="2">
        <v>0.875</v>
      </c>
    </row>
    <row r="19" spans="1:14" x14ac:dyDescent="0.2">
      <c r="A19" t="s">
        <v>14</v>
      </c>
      <c r="B19" t="s">
        <v>15</v>
      </c>
      <c r="C19" s="4">
        <v>46058</v>
      </c>
      <c r="D19">
        <v>2</v>
      </c>
      <c r="E19" t="s">
        <v>18</v>
      </c>
      <c r="F19" s="3">
        <v>0.85</v>
      </c>
      <c r="G19">
        <v>5</v>
      </c>
      <c r="H19" t="s">
        <v>20</v>
      </c>
      <c r="I19" t="s">
        <v>21</v>
      </c>
      <c r="J19" t="s">
        <v>22</v>
      </c>
      <c r="K19">
        <v>2</v>
      </c>
      <c r="L19" t="s">
        <v>25</v>
      </c>
      <c r="M19" s="2">
        <v>0.875</v>
      </c>
      <c r="N19" s="2">
        <v>0.875</v>
      </c>
    </row>
    <row r="20" spans="1:14" x14ac:dyDescent="0.2">
      <c r="A20" t="s">
        <v>14</v>
      </c>
      <c r="B20" t="s">
        <v>15</v>
      </c>
      <c r="C20" s="4">
        <v>46058</v>
      </c>
      <c r="D20">
        <v>2</v>
      </c>
      <c r="E20" t="s">
        <v>18</v>
      </c>
      <c r="F20" s="3">
        <v>0.85</v>
      </c>
      <c r="G20">
        <v>5</v>
      </c>
      <c r="H20" t="s">
        <v>20</v>
      </c>
      <c r="I20" t="s">
        <v>21</v>
      </c>
      <c r="J20" t="s">
        <v>22</v>
      </c>
      <c r="K20">
        <v>3</v>
      </c>
      <c r="L20" t="s">
        <v>25</v>
      </c>
      <c r="M20" s="2">
        <v>0.875</v>
      </c>
      <c r="N20" s="2">
        <v>0.875</v>
      </c>
    </row>
    <row r="21" spans="1:14" x14ac:dyDescent="0.2">
      <c r="A21" t="s">
        <v>14</v>
      </c>
      <c r="B21" t="s">
        <v>15</v>
      </c>
      <c r="C21" s="4">
        <v>46058</v>
      </c>
      <c r="D21">
        <v>2</v>
      </c>
      <c r="E21" t="s">
        <v>18</v>
      </c>
      <c r="F21" s="3">
        <v>0.85</v>
      </c>
      <c r="G21">
        <v>5</v>
      </c>
      <c r="H21" t="s">
        <v>20</v>
      </c>
      <c r="I21" t="s">
        <v>21</v>
      </c>
      <c r="J21" t="s">
        <v>22</v>
      </c>
      <c r="K21">
        <v>4</v>
      </c>
      <c r="L21" t="s">
        <v>25</v>
      </c>
      <c r="M21" s="2">
        <v>0.875</v>
      </c>
      <c r="N21" s="2">
        <v>0.875</v>
      </c>
    </row>
    <row r="22" spans="1:14" x14ac:dyDescent="0.2">
      <c r="A22" t="s">
        <v>14</v>
      </c>
      <c r="B22" t="s">
        <v>15</v>
      </c>
      <c r="C22" s="4">
        <v>46058</v>
      </c>
      <c r="D22">
        <v>2</v>
      </c>
      <c r="E22" t="s">
        <v>18</v>
      </c>
      <c r="F22" s="3">
        <v>0.85</v>
      </c>
      <c r="G22">
        <v>5</v>
      </c>
      <c r="H22" t="s">
        <v>20</v>
      </c>
      <c r="I22" t="s">
        <v>21</v>
      </c>
      <c r="J22" t="s">
        <v>22</v>
      </c>
      <c r="K22">
        <v>5</v>
      </c>
      <c r="L22" t="s">
        <v>23</v>
      </c>
      <c r="M22" s="2">
        <v>0.875</v>
      </c>
      <c r="N22" s="2">
        <v>0.875</v>
      </c>
    </row>
    <row r="23" spans="1:14" x14ac:dyDescent="0.2">
      <c r="A23" t="s">
        <v>14</v>
      </c>
      <c r="B23" t="s">
        <v>15</v>
      </c>
      <c r="C23" s="4">
        <v>46058</v>
      </c>
      <c r="D23">
        <v>2</v>
      </c>
      <c r="E23" t="s">
        <v>18</v>
      </c>
      <c r="F23" s="3">
        <v>0.85</v>
      </c>
      <c r="G23">
        <v>5</v>
      </c>
      <c r="H23" t="s">
        <v>20</v>
      </c>
      <c r="I23" t="s">
        <v>21</v>
      </c>
      <c r="J23" t="s">
        <v>22</v>
      </c>
      <c r="K23">
        <v>6</v>
      </c>
      <c r="L23" t="s">
        <v>25</v>
      </c>
      <c r="M23" s="2">
        <v>0.875</v>
      </c>
      <c r="N23" s="2">
        <v>0.875</v>
      </c>
    </row>
    <row r="24" spans="1:14" x14ac:dyDescent="0.2">
      <c r="A24" t="s">
        <v>14</v>
      </c>
      <c r="B24" t="s">
        <v>15</v>
      </c>
      <c r="C24" s="4">
        <v>46058</v>
      </c>
      <c r="D24">
        <v>2</v>
      </c>
      <c r="E24" t="s">
        <v>18</v>
      </c>
      <c r="F24" s="3">
        <v>0.85</v>
      </c>
      <c r="G24">
        <v>5</v>
      </c>
      <c r="H24" t="s">
        <v>20</v>
      </c>
      <c r="I24" t="s">
        <v>21</v>
      </c>
      <c r="J24" t="s">
        <v>22</v>
      </c>
      <c r="K24">
        <v>7</v>
      </c>
      <c r="L24" t="s">
        <v>25</v>
      </c>
      <c r="M24" s="2">
        <v>0.875</v>
      </c>
      <c r="N24" s="2">
        <v>0.875</v>
      </c>
    </row>
    <row r="25" spans="1:14" x14ac:dyDescent="0.2">
      <c r="A25" t="s">
        <v>14</v>
      </c>
      <c r="B25" t="s">
        <v>15</v>
      </c>
      <c r="C25" s="4">
        <v>46058</v>
      </c>
      <c r="D25">
        <v>2</v>
      </c>
      <c r="E25" t="s">
        <v>18</v>
      </c>
      <c r="F25" s="3">
        <v>0.85</v>
      </c>
      <c r="G25">
        <v>5</v>
      </c>
      <c r="H25" t="s">
        <v>20</v>
      </c>
      <c r="I25" t="s">
        <v>21</v>
      </c>
      <c r="J25" t="s">
        <v>22</v>
      </c>
      <c r="K25">
        <v>8</v>
      </c>
      <c r="L25" t="s">
        <v>25</v>
      </c>
      <c r="M25" s="2">
        <v>0.875</v>
      </c>
      <c r="N25" s="2">
        <v>0.875</v>
      </c>
    </row>
    <row r="26" spans="1:14" x14ac:dyDescent="0.2">
      <c r="A26" t="s">
        <v>14</v>
      </c>
      <c r="B26" t="s">
        <v>15</v>
      </c>
      <c r="C26" s="4">
        <v>46061</v>
      </c>
      <c r="D26">
        <v>2</v>
      </c>
      <c r="E26" t="s">
        <v>33</v>
      </c>
      <c r="F26" s="3">
        <v>0.85</v>
      </c>
      <c r="G26">
        <v>5</v>
      </c>
      <c r="H26" t="s">
        <v>20</v>
      </c>
      <c r="I26" t="s">
        <v>21</v>
      </c>
      <c r="J26" t="s">
        <v>22</v>
      </c>
      <c r="K26">
        <v>1</v>
      </c>
      <c r="L26" t="s">
        <v>23</v>
      </c>
      <c r="M26" s="2">
        <v>0.33329999999999999</v>
      </c>
      <c r="N26" s="2">
        <v>0.33329999999999999</v>
      </c>
    </row>
    <row r="27" spans="1:14" x14ac:dyDescent="0.2">
      <c r="A27" t="s">
        <v>14</v>
      </c>
      <c r="B27" t="s">
        <v>15</v>
      </c>
      <c r="C27" s="4">
        <v>46061</v>
      </c>
      <c r="D27">
        <v>2</v>
      </c>
      <c r="E27" t="s">
        <v>33</v>
      </c>
      <c r="F27" s="3">
        <v>0.85</v>
      </c>
      <c r="G27">
        <v>5</v>
      </c>
      <c r="H27" t="s">
        <v>20</v>
      </c>
      <c r="I27" t="s">
        <v>21</v>
      </c>
      <c r="J27" t="s">
        <v>22</v>
      </c>
      <c r="K27">
        <v>2</v>
      </c>
      <c r="L27" t="s">
        <v>23</v>
      </c>
      <c r="M27" s="2">
        <v>0.33329999999999999</v>
      </c>
      <c r="N27" s="2">
        <v>0.33329999999999999</v>
      </c>
    </row>
    <row r="28" spans="1:14" x14ac:dyDescent="0.2">
      <c r="A28" t="s">
        <v>14</v>
      </c>
      <c r="B28" t="s">
        <v>15</v>
      </c>
      <c r="C28" s="4">
        <v>46061</v>
      </c>
      <c r="D28">
        <v>2</v>
      </c>
      <c r="E28" t="s">
        <v>33</v>
      </c>
      <c r="F28" s="3">
        <v>0.85</v>
      </c>
      <c r="G28">
        <v>5</v>
      </c>
      <c r="H28" t="s">
        <v>20</v>
      </c>
      <c r="I28" t="s">
        <v>21</v>
      </c>
      <c r="J28" t="s">
        <v>22</v>
      </c>
      <c r="K28">
        <v>3</v>
      </c>
      <c r="L28" t="s">
        <v>23</v>
      </c>
      <c r="M28" s="2">
        <v>0.33329999999999999</v>
      </c>
      <c r="N28" s="2">
        <v>0.33329999999999999</v>
      </c>
    </row>
    <row r="29" spans="1:14" x14ac:dyDescent="0.2">
      <c r="A29" t="s">
        <v>14</v>
      </c>
      <c r="B29" t="s">
        <v>15</v>
      </c>
      <c r="C29" s="4">
        <v>46061</v>
      </c>
      <c r="D29">
        <v>2</v>
      </c>
      <c r="E29" t="s">
        <v>33</v>
      </c>
      <c r="F29" s="3">
        <v>0.85</v>
      </c>
      <c r="G29">
        <v>5</v>
      </c>
      <c r="H29" t="s">
        <v>20</v>
      </c>
      <c r="I29" t="s">
        <v>21</v>
      </c>
      <c r="J29" t="s">
        <v>22</v>
      </c>
      <c r="K29">
        <v>4</v>
      </c>
      <c r="L29" t="s">
        <v>23</v>
      </c>
      <c r="M29" s="2">
        <v>0.33329999999999999</v>
      </c>
      <c r="N29" s="2">
        <v>0.33329999999999999</v>
      </c>
    </row>
    <row r="30" spans="1:14" x14ac:dyDescent="0.2">
      <c r="A30" t="s">
        <v>14</v>
      </c>
      <c r="B30" t="s">
        <v>15</v>
      </c>
      <c r="C30" s="4">
        <v>46061</v>
      </c>
      <c r="D30">
        <v>2</v>
      </c>
      <c r="E30" t="s">
        <v>33</v>
      </c>
      <c r="F30" s="3">
        <v>0.85</v>
      </c>
      <c r="G30">
        <v>5</v>
      </c>
      <c r="H30" t="s">
        <v>20</v>
      </c>
      <c r="I30" t="s">
        <v>21</v>
      </c>
      <c r="J30" t="s">
        <v>22</v>
      </c>
      <c r="K30">
        <v>5</v>
      </c>
      <c r="L30" t="s">
        <v>25</v>
      </c>
      <c r="M30" s="2">
        <v>0.33329999999999999</v>
      </c>
      <c r="N30" s="2">
        <v>0.33329999999999999</v>
      </c>
    </row>
    <row r="31" spans="1:14" x14ac:dyDescent="0.2">
      <c r="A31" t="s">
        <v>14</v>
      </c>
      <c r="B31" t="s">
        <v>15</v>
      </c>
      <c r="C31" s="4">
        <v>46061</v>
      </c>
      <c r="D31">
        <v>2</v>
      </c>
      <c r="E31" t="s">
        <v>33</v>
      </c>
      <c r="F31" s="3">
        <v>0.85</v>
      </c>
      <c r="G31">
        <v>5</v>
      </c>
      <c r="H31" t="s">
        <v>20</v>
      </c>
      <c r="I31" t="s">
        <v>21</v>
      </c>
      <c r="J31" t="s">
        <v>22</v>
      </c>
      <c r="K31">
        <v>6</v>
      </c>
      <c r="L31" t="s">
        <v>25</v>
      </c>
      <c r="M31" s="2">
        <v>0.33329999999999999</v>
      </c>
      <c r="N31" s="2">
        <v>0.33329999999999999</v>
      </c>
    </row>
    <row r="32" spans="1:14" x14ac:dyDescent="0.2">
      <c r="A32" t="s">
        <v>14</v>
      </c>
      <c r="B32" t="s">
        <v>15</v>
      </c>
      <c r="C32" s="4">
        <v>46062</v>
      </c>
      <c r="D32">
        <v>3</v>
      </c>
      <c r="E32" t="s">
        <v>33</v>
      </c>
      <c r="F32" s="3">
        <v>0.85</v>
      </c>
      <c r="G32">
        <v>5</v>
      </c>
      <c r="H32" t="s">
        <v>20</v>
      </c>
      <c r="I32" t="s">
        <v>21</v>
      </c>
      <c r="J32" t="s">
        <v>22</v>
      </c>
      <c r="K32">
        <v>1</v>
      </c>
      <c r="L32" t="s">
        <v>25</v>
      </c>
      <c r="M32" s="2">
        <v>0.5</v>
      </c>
      <c r="N32" s="2">
        <v>0.5</v>
      </c>
    </row>
    <row r="33" spans="1:14" x14ac:dyDescent="0.2">
      <c r="A33" t="s">
        <v>14</v>
      </c>
      <c r="B33" t="s">
        <v>15</v>
      </c>
      <c r="C33" s="4">
        <v>46062</v>
      </c>
      <c r="D33">
        <v>3</v>
      </c>
      <c r="E33" t="s">
        <v>33</v>
      </c>
      <c r="F33" s="3">
        <v>0.85</v>
      </c>
      <c r="G33">
        <v>5</v>
      </c>
      <c r="H33" t="s">
        <v>20</v>
      </c>
      <c r="I33" t="s">
        <v>21</v>
      </c>
      <c r="J33" t="s">
        <v>22</v>
      </c>
      <c r="K33">
        <v>2</v>
      </c>
      <c r="L33" t="s">
        <v>23</v>
      </c>
      <c r="M33" s="2">
        <v>0.5</v>
      </c>
      <c r="N33" s="2">
        <v>0.5</v>
      </c>
    </row>
    <row r="34" spans="1:14" x14ac:dyDescent="0.2">
      <c r="A34" t="s">
        <v>14</v>
      </c>
      <c r="B34" t="s">
        <v>15</v>
      </c>
      <c r="C34" s="4">
        <v>46062</v>
      </c>
      <c r="D34">
        <v>3</v>
      </c>
      <c r="E34" t="s">
        <v>33</v>
      </c>
      <c r="F34" s="3">
        <v>0.85</v>
      </c>
      <c r="G34">
        <v>5</v>
      </c>
      <c r="H34" t="s">
        <v>20</v>
      </c>
      <c r="I34" t="s">
        <v>21</v>
      </c>
      <c r="J34" t="s">
        <v>22</v>
      </c>
      <c r="K34">
        <v>3</v>
      </c>
      <c r="L34" t="s">
        <v>23</v>
      </c>
      <c r="M34" s="2">
        <v>0.5</v>
      </c>
      <c r="N34" s="2">
        <v>0.5</v>
      </c>
    </row>
    <row r="35" spans="1:14" x14ac:dyDescent="0.2">
      <c r="A35" t="s">
        <v>14</v>
      </c>
      <c r="B35" t="s">
        <v>15</v>
      </c>
      <c r="C35" s="4">
        <v>46062</v>
      </c>
      <c r="D35">
        <v>3</v>
      </c>
      <c r="E35" t="s">
        <v>33</v>
      </c>
      <c r="F35" s="3">
        <v>0.85</v>
      </c>
      <c r="G35">
        <v>5</v>
      </c>
      <c r="H35" t="s">
        <v>20</v>
      </c>
      <c r="I35" t="s">
        <v>21</v>
      </c>
      <c r="J35" t="s">
        <v>22</v>
      </c>
      <c r="K35">
        <v>4</v>
      </c>
      <c r="L35" t="s">
        <v>23</v>
      </c>
      <c r="M35" s="2">
        <v>0.5</v>
      </c>
      <c r="N35" s="2">
        <v>0.5</v>
      </c>
    </row>
    <row r="36" spans="1:14" x14ac:dyDescent="0.2">
      <c r="A36" t="s">
        <v>14</v>
      </c>
      <c r="B36" t="s">
        <v>15</v>
      </c>
      <c r="C36" s="4">
        <v>46062</v>
      </c>
      <c r="D36">
        <v>3</v>
      </c>
      <c r="E36" t="s">
        <v>33</v>
      </c>
      <c r="F36" s="3">
        <v>0.85</v>
      </c>
      <c r="G36">
        <v>5</v>
      </c>
      <c r="H36" t="s">
        <v>20</v>
      </c>
      <c r="I36" t="s">
        <v>21</v>
      </c>
      <c r="J36" t="s">
        <v>22</v>
      </c>
      <c r="K36">
        <v>5</v>
      </c>
      <c r="L36" t="s">
        <v>25</v>
      </c>
      <c r="M36" s="2">
        <v>0.5</v>
      </c>
      <c r="N36" s="2">
        <v>0.5</v>
      </c>
    </row>
    <row r="37" spans="1:14" x14ac:dyDescent="0.2">
      <c r="A37" t="s">
        <v>14</v>
      </c>
      <c r="B37" t="s">
        <v>15</v>
      </c>
      <c r="C37" s="4">
        <v>46062</v>
      </c>
      <c r="D37">
        <v>3</v>
      </c>
      <c r="E37" t="s">
        <v>33</v>
      </c>
      <c r="F37" s="3">
        <v>0.85</v>
      </c>
      <c r="G37">
        <v>5</v>
      </c>
      <c r="H37" t="s">
        <v>20</v>
      </c>
      <c r="I37" t="s">
        <v>21</v>
      </c>
      <c r="J37" t="s">
        <v>22</v>
      </c>
      <c r="K37">
        <v>6</v>
      </c>
      <c r="L37" t="s">
        <v>23</v>
      </c>
      <c r="M37" s="2">
        <v>0.5</v>
      </c>
      <c r="N37" s="2">
        <v>0.5</v>
      </c>
    </row>
    <row r="38" spans="1:14" x14ac:dyDescent="0.2">
      <c r="A38" t="s">
        <v>14</v>
      </c>
      <c r="B38" t="s">
        <v>15</v>
      </c>
      <c r="C38" s="4">
        <v>46062</v>
      </c>
      <c r="D38">
        <v>3</v>
      </c>
      <c r="E38" t="s">
        <v>33</v>
      </c>
      <c r="F38" s="3">
        <v>0.85</v>
      </c>
      <c r="G38">
        <v>5</v>
      </c>
      <c r="H38" t="s">
        <v>20</v>
      </c>
      <c r="I38" t="s">
        <v>21</v>
      </c>
      <c r="J38" t="s">
        <v>22</v>
      </c>
      <c r="K38">
        <v>7</v>
      </c>
      <c r="L38" t="s">
        <v>25</v>
      </c>
      <c r="M38" s="2">
        <v>0.5</v>
      </c>
      <c r="N38" s="2">
        <v>0.5</v>
      </c>
    </row>
    <row r="39" spans="1:14" x14ac:dyDescent="0.2">
      <c r="A39" t="s">
        <v>14</v>
      </c>
      <c r="B39" t="s">
        <v>15</v>
      </c>
      <c r="C39" s="4">
        <v>46062</v>
      </c>
      <c r="D39">
        <v>3</v>
      </c>
      <c r="E39" t="s">
        <v>33</v>
      </c>
      <c r="F39" s="3">
        <v>0.85</v>
      </c>
      <c r="G39">
        <v>5</v>
      </c>
      <c r="H39" t="s">
        <v>20</v>
      </c>
      <c r="I39" t="s">
        <v>21</v>
      </c>
      <c r="J39" t="s">
        <v>22</v>
      </c>
      <c r="K39">
        <v>8</v>
      </c>
      <c r="L39" t="s">
        <v>25</v>
      </c>
      <c r="M39" s="2">
        <v>0.5</v>
      </c>
      <c r="N39" s="2">
        <v>0.5</v>
      </c>
    </row>
    <row r="40" spans="1:14" x14ac:dyDescent="0.2">
      <c r="A40" t="s">
        <v>14</v>
      </c>
      <c r="B40" t="s">
        <v>15</v>
      </c>
      <c r="C40" s="4">
        <v>46065</v>
      </c>
      <c r="D40">
        <v>1</v>
      </c>
      <c r="E40" t="s">
        <v>40</v>
      </c>
      <c r="F40" s="3">
        <v>0.85</v>
      </c>
      <c r="G40">
        <v>5</v>
      </c>
      <c r="H40" t="s">
        <v>20</v>
      </c>
      <c r="I40" t="s">
        <v>21</v>
      </c>
      <c r="J40" t="s">
        <v>22</v>
      </c>
      <c r="K40">
        <v>1</v>
      </c>
      <c r="L40" t="s">
        <v>23</v>
      </c>
      <c r="M40" s="2">
        <v>0.71430000000000005</v>
      </c>
      <c r="N40" s="2">
        <v>0.71430000000000005</v>
      </c>
    </row>
    <row r="41" spans="1:14" x14ac:dyDescent="0.2">
      <c r="A41" t="s">
        <v>14</v>
      </c>
      <c r="B41" t="s">
        <v>15</v>
      </c>
      <c r="C41" s="4">
        <v>46065</v>
      </c>
      <c r="D41">
        <v>1</v>
      </c>
      <c r="E41" t="s">
        <v>40</v>
      </c>
      <c r="F41" s="3">
        <v>0.85</v>
      </c>
      <c r="G41">
        <v>5</v>
      </c>
      <c r="H41" t="s">
        <v>20</v>
      </c>
      <c r="I41" t="s">
        <v>21</v>
      </c>
      <c r="J41" t="s">
        <v>22</v>
      </c>
      <c r="K41">
        <v>2</v>
      </c>
      <c r="L41" t="s">
        <v>25</v>
      </c>
      <c r="M41" s="2">
        <v>0.71430000000000005</v>
      </c>
      <c r="N41" s="2">
        <v>0.71430000000000005</v>
      </c>
    </row>
    <row r="42" spans="1:14" x14ac:dyDescent="0.2">
      <c r="A42" t="s">
        <v>14</v>
      </c>
      <c r="B42" t="s">
        <v>15</v>
      </c>
      <c r="C42" s="4">
        <v>46065</v>
      </c>
      <c r="D42">
        <v>1</v>
      </c>
      <c r="E42" t="s">
        <v>40</v>
      </c>
      <c r="F42" s="3">
        <v>0.85</v>
      </c>
      <c r="G42">
        <v>5</v>
      </c>
      <c r="H42" t="s">
        <v>20</v>
      </c>
      <c r="I42" t="s">
        <v>21</v>
      </c>
      <c r="J42" t="s">
        <v>22</v>
      </c>
      <c r="K42">
        <v>3</v>
      </c>
      <c r="L42" t="s">
        <v>25</v>
      </c>
      <c r="M42" s="2">
        <v>0.71430000000000005</v>
      </c>
      <c r="N42" s="2">
        <v>0.71430000000000005</v>
      </c>
    </row>
    <row r="43" spans="1:14" x14ac:dyDescent="0.2">
      <c r="A43" t="s">
        <v>14</v>
      </c>
      <c r="B43" t="s">
        <v>15</v>
      </c>
      <c r="C43" s="4">
        <v>46065</v>
      </c>
      <c r="D43">
        <v>1</v>
      </c>
      <c r="E43" t="s">
        <v>40</v>
      </c>
      <c r="F43" s="3">
        <v>0.85</v>
      </c>
      <c r="G43">
        <v>5</v>
      </c>
      <c r="H43" t="s">
        <v>20</v>
      </c>
      <c r="I43" t="s">
        <v>21</v>
      </c>
      <c r="J43" t="s">
        <v>22</v>
      </c>
      <c r="K43">
        <v>4</v>
      </c>
      <c r="L43" t="s">
        <v>23</v>
      </c>
      <c r="M43" s="2">
        <v>0.71430000000000005</v>
      </c>
      <c r="N43" s="2">
        <v>0.71430000000000005</v>
      </c>
    </row>
    <row r="44" spans="1:14" x14ac:dyDescent="0.2">
      <c r="A44" t="s">
        <v>14</v>
      </c>
      <c r="B44" t="s">
        <v>15</v>
      </c>
      <c r="C44" s="4">
        <v>46065</v>
      </c>
      <c r="D44">
        <v>1</v>
      </c>
      <c r="E44" t="s">
        <v>40</v>
      </c>
      <c r="F44" s="3">
        <v>0.85</v>
      </c>
      <c r="G44">
        <v>5</v>
      </c>
      <c r="H44" t="s">
        <v>20</v>
      </c>
      <c r="I44" t="s">
        <v>21</v>
      </c>
      <c r="J44" t="s">
        <v>22</v>
      </c>
      <c r="K44">
        <v>5</v>
      </c>
      <c r="L44" t="s">
        <v>25</v>
      </c>
      <c r="M44" s="2">
        <v>0.71430000000000005</v>
      </c>
      <c r="N44" s="2">
        <v>0.71430000000000005</v>
      </c>
    </row>
    <row r="45" spans="1:14" x14ac:dyDescent="0.2">
      <c r="A45" t="s">
        <v>14</v>
      </c>
      <c r="B45" t="s">
        <v>15</v>
      </c>
      <c r="C45" s="4">
        <v>46065</v>
      </c>
      <c r="D45">
        <v>1</v>
      </c>
      <c r="E45" t="s">
        <v>40</v>
      </c>
      <c r="F45" s="3">
        <v>0.85</v>
      </c>
      <c r="G45">
        <v>5</v>
      </c>
      <c r="H45" t="s">
        <v>20</v>
      </c>
      <c r="I45" t="s">
        <v>21</v>
      </c>
      <c r="J45" t="s">
        <v>22</v>
      </c>
      <c r="K45">
        <v>6</v>
      </c>
      <c r="L45" t="s">
        <v>25</v>
      </c>
      <c r="M45" s="2">
        <v>0.71430000000000005</v>
      </c>
      <c r="N45" s="2">
        <v>0.71430000000000005</v>
      </c>
    </row>
    <row r="46" spans="1:14" x14ac:dyDescent="0.2">
      <c r="A46" t="s">
        <v>14</v>
      </c>
      <c r="B46" t="s">
        <v>15</v>
      </c>
      <c r="C46" s="4">
        <v>46065</v>
      </c>
      <c r="D46">
        <v>1</v>
      </c>
      <c r="E46" t="s">
        <v>40</v>
      </c>
      <c r="F46" s="3">
        <v>0.85</v>
      </c>
      <c r="G46">
        <v>5</v>
      </c>
      <c r="H46" t="s">
        <v>20</v>
      </c>
      <c r="I46" t="s">
        <v>21</v>
      </c>
      <c r="J46" t="s">
        <v>22</v>
      </c>
      <c r="K46">
        <v>7</v>
      </c>
      <c r="L46" t="s">
        <v>25</v>
      </c>
      <c r="M46" s="2">
        <v>0.71430000000000005</v>
      </c>
      <c r="N46" s="2">
        <v>0.71430000000000005</v>
      </c>
    </row>
    <row r="47" spans="1:14" x14ac:dyDescent="0.2">
      <c r="A47" t="s">
        <v>14</v>
      </c>
      <c r="B47" t="s">
        <v>15</v>
      </c>
      <c r="C47" s="4">
        <v>46069</v>
      </c>
      <c r="D47">
        <v>4</v>
      </c>
      <c r="E47" t="s">
        <v>43</v>
      </c>
      <c r="F47" s="3">
        <v>0.85</v>
      </c>
      <c r="G47">
        <v>5</v>
      </c>
      <c r="H47" t="s">
        <v>20</v>
      </c>
      <c r="I47" t="s">
        <v>21</v>
      </c>
      <c r="J47" t="s">
        <v>22</v>
      </c>
      <c r="K47">
        <v>1</v>
      </c>
      <c r="L47" t="s">
        <v>25</v>
      </c>
      <c r="M47" s="2">
        <v>0.85709999999999997</v>
      </c>
      <c r="N47" s="2">
        <v>0.85709999999999997</v>
      </c>
    </row>
    <row r="48" spans="1:14" x14ac:dyDescent="0.2">
      <c r="A48" t="s">
        <v>14</v>
      </c>
      <c r="B48" t="s">
        <v>15</v>
      </c>
      <c r="C48" s="4">
        <v>46069</v>
      </c>
      <c r="D48">
        <v>4</v>
      </c>
      <c r="E48" t="s">
        <v>43</v>
      </c>
      <c r="F48" s="3">
        <v>0.85</v>
      </c>
      <c r="G48">
        <v>5</v>
      </c>
      <c r="H48" t="s">
        <v>20</v>
      </c>
      <c r="I48" t="s">
        <v>21</v>
      </c>
      <c r="J48" t="s">
        <v>22</v>
      </c>
      <c r="K48">
        <v>2</v>
      </c>
      <c r="L48" t="s">
        <v>25</v>
      </c>
      <c r="M48" s="2">
        <v>0.85709999999999997</v>
      </c>
      <c r="N48" s="2">
        <v>0.85709999999999997</v>
      </c>
    </row>
    <row r="49" spans="1:14" x14ac:dyDescent="0.2">
      <c r="A49" t="s">
        <v>14</v>
      </c>
      <c r="B49" t="s">
        <v>15</v>
      </c>
      <c r="C49" s="4">
        <v>46069</v>
      </c>
      <c r="D49">
        <v>4</v>
      </c>
      <c r="E49" t="s">
        <v>43</v>
      </c>
      <c r="F49" s="3">
        <v>0.85</v>
      </c>
      <c r="G49">
        <v>5</v>
      </c>
      <c r="H49" t="s">
        <v>20</v>
      </c>
      <c r="I49" t="s">
        <v>21</v>
      </c>
      <c r="J49" t="s">
        <v>22</v>
      </c>
      <c r="K49">
        <v>3</v>
      </c>
      <c r="L49" t="s">
        <v>25</v>
      </c>
      <c r="M49" s="2">
        <v>0.85709999999999997</v>
      </c>
      <c r="N49" s="2">
        <v>0.85709999999999997</v>
      </c>
    </row>
    <row r="50" spans="1:14" x14ac:dyDescent="0.2">
      <c r="A50" t="s">
        <v>14</v>
      </c>
      <c r="B50" t="s">
        <v>15</v>
      </c>
      <c r="C50" s="4">
        <v>46069</v>
      </c>
      <c r="D50">
        <v>4</v>
      </c>
      <c r="E50" t="s">
        <v>43</v>
      </c>
      <c r="F50" s="3">
        <v>0.85</v>
      </c>
      <c r="G50">
        <v>5</v>
      </c>
      <c r="H50" t="s">
        <v>20</v>
      </c>
      <c r="I50" t="s">
        <v>21</v>
      </c>
      <c r="J50" t="s">
        <v>22</v>
      </c>
      <c r="K50">
        <v>4</v>
      </c>
      <c r="L50" t="s">
        <v>25</v>
      </c>
      <c r="M50" s="2">
        <v>0.85709999999999997</v>
      </c>
      <c r="N50" s="2">
        <v>0.85709999999999997</v>
      </c>
    </row>
    <row r="51" spans="1:14" x14ac:dyDescent="0.2">
      <c r="A51" t="s">
        <v>14</v>
      </c>
      <c r="B51" t="s">
        <v>15</v>
      </c>
      <c r="C51" s="4">
        <v>46069</v>
      </c>
      <c r="D51">
        <v>4</v>
      </c>
      <c r="E51" t="s">
        <v>43</v>
      </c>
      <c r="F51" s="3">
        <v>0.85</v>
      </c>
      <c r="G51">
        <v>5</v>
      </c>
      <c r="H51" t="s">
        <v>20</v>
      </c>
      <c r="I51" t="s">
        <v>21</v>
      </c>
      <c r="J51" t="s">
        <v>22</v>
      </c>
      <c r="K51">
        <v>5</v>
      </c>
      <c r="L51" t="s">
        <v>23</v>
      </c>
      <c r="M51" s="2">
        <v>0.85709999999999997</v>
      </c>
      <c r="N51" s="2">
        <v>0.85709999999999997</v>
      </c>
    </row>
    <row r="52" spans="1:14" x14ac:dyDescent="0.2">
      <c r="A52" t="s">
        <v>14</v>
      </c>
      <c r="B52" t="s">
        <v>15</v>
      </c>
      <c r="C52" s="4">
        <v>46069</v>
      </c>
      <c r="D52">
        <v>4</v>
      </c>
      <c r="E52" t="s">
        <v>43</v>
      </c>
      <c r="F52" s="3">
        <v>0.85</v>
      </c>
      <c r="G52">
        <v>5</v>
      </c>
      <c r="H52" t="s">
        <v>20</v>
      </c>
      <c r="I52" t="s">
        <v>21</v>
      </c>
      <c r="J52" t="s">
        <v>22</v>
      </c>
      <c r="K52">
        <v>6</v>
      </c>
      <c r="L52" t="s">
        <v>25</v>
      </c>
      <c r="M52" s="2">
        <v>0.85709999999999997</v>
      </c>
      <c r="N52" s="2">
        <v>0.85709999999999997</v>
      </c>
    </row>
    <row r="53" spans="1:14" x14ac:dyDescent="0.2">
      <c r="A53" t="s">
        <v>14</v>
      </c>
      <c r="B53" t="s">
        <v>15</v>
      </c>
      <c r="C53" s="4">
        <v>46069</v>
      </c>
      <c r="D53">
        <v>4</v>
      </c>
      <c r="E53" t="s">
        <v>43</v>
      </c>
      <c r="F53" s="3">
        <v>0.85</v>
      </c>
      <c r="G53">
        <v>5</v>
      </c>
      <c r="H53" t="s">
        <v>20</v>
      </c>
      <c r="I53" t="s">
        <v>21</v>
      </c>
      <c r="J53" t="s">
        <v>22</v>
      </c>
      <c r="K53">
        <v>7</v>
      </c>
      <c r="L53" t="s">
        <v>25</v>
      </c>
      <c r="M53" s="2">
        <v>0.85709999999999997</v>
      </c>
      <c r="N53" s="2">
        <v>0.85709999999999997</v>
      </c>
    </row>
    <row r="54" spans="1:14" x14ac:dyDescent="0.2">
      <c r="A54" t="s">
        <v>14</v>
      </c>
      <c r="B54" t="s">
        <v>15</v>
      </c>
      <c r="C54" s="4">
        <v>46070</v>
      </c>
      <c r="D54">
        <v>2</v>
      </c>
      <c r="E54" t="s">
        <v>40</v>
      </c>
      <c r="F54" s="3">
        <v>0.85</v>
      </c>
      <c r="G54">
        <v>5</v>
      </c>
      <c r="H54" t="s">
        <v>20</v>
      </c>
      <c r="I54" t="s">
        <v>21</v>
      </c>
      <c r="J54" t="s">
        <v>22</v>
      </c>
      <c r="K54">
        <v>1</v>
      </c>
      <c r="L54" t="s">
        <v>25</v>
      </c>
      <c r="M54" s="2">
        <v>0.58330000000000004</v>
      </c>
      <c r="N54" s="2">
        <v>0.58330000000000004</v>
      </c>
    </row>
    <row r="55" spans="1:14" x14ac:dyDescent="0.2">
      <c r="A55" t="s">
        <v>14</v>
      </c>
      <c r="B55" t="s">
        <v>15</v>
      </c>
      <c r="C55" s="4">
        <v>46070</v>
      </c>
      <c r="D55">
        <v>2</v>
      </c>
      <c r="E55" t="s">
        <v>40</v>
      </c>
      <c r="F55" s="3">
        <v>0.85</v>
      </c>
      <c r="G55">
        <v>5</v>
      </c>
      <c r="H55" t="s">
        <v>20</v>
      </c>
      <c r="I55" t="s">
        <v>21</v>
      </c>
      <c r="J55" t="s">
        <v>22</v>
      </c>
      <c r="K55">
        <v>2</v>
      </c>
      <c r="L55" t="s">
        <v>25</v>
      </c>
      <c r="M55" s="2">
        <v>0.58330000000000004</v>
      </c>
      <c r="N55" s="2">
        <v>0.58330000000000004</v>
      </c>
    </row>
    <row r="56" spans="1:14" x14ac:dyDescent="0.2">
      <c r="A56" t="s">
        <v>14</v>
      </c>
      <c r="B56" t="s">
        <v>15</v>
      </c>
      <c r="C56" s="4">
        <v>46070</v>
      </c>
      <c r="D56">
        <v>2</v>
      </c>
      <c r="E56" t="s">
        <v>40</v>
      </c>
      <c r="F56" s="3">
        <v>0.85</v>
      </c>
      <c r="G56">
        <v>5</v>
      </c>
      <c r="H56" t="s">
        <v>20</v>
      </c>
      <c r="I56" t="s">
        <v>21</v>
      </c>
      <c r="J56" t="s">
        <v>22</v>
      </c>
      <c r="K56">
        <v>3</v>
      </c>
      <c r="L56" t="s">
        <v>23</v>
      </c>
      <c r="M56" s="2">
        <v>0.58330000000000004</v>
      </c>
      <c r="N56" s="2">
        <v>0.58330000000000004</v>
      </c>
    </row>
    <row r="57" spans="1:14" x14ac:dyDescent="0.2">
      <c r="A57" t="s">
        <v>14</v>
      </c>
      <c r="B57" t="s">
        <v>15</v>
      </c>
      <c r="C57" s="4">
        <v>46070</v>
      </c>
      <c r="D57">
        <v>2</v>
      </c>
      <c r="E57" t="s">
        <v>40</v>
      </c>
      <c r="F57" s="3">
        <v>0.85</v>
      </c>
      <c r="G57">
        <v>5</v>
      </c>
      <c r="H57" t="s">
        <v>20</v>
      </c>
      <c r="I57" t="s">
        <v>21</v>
      </c>
      <c r="J57" t="s">
        <v>22</v>
      </c>
      <c r="K57">
        <v>4</v>
      </c>
      <c r="L57" t="s">
        <v>25</v>
      </c>
      <c r="M57" s="2">
        <v>0.58330000000000004</v>
      </c>
      <c r="N57" s="2">
        <v>0.58330000000000004</v>
      </c>
    </row>
    <row r="58" spans="1:14" x14ac:dyDescent="0.2">
      <c r="A58" t="s">
        <v>14</v>
      </c>
      <c r="B58" t="s">
        <v>15</v>
      </c>
      <c r="C58" s="4">
        <v>46070</v>
      </c>
      <c r="D58">
        <v>2</v>
      </c>
      <c r="E58" t="s">
        <v>40</v>
      </c>
      <c r="F58" s="3">
        <v>0.85</v>
      </c>
      <c r="G58">
        <v>5</v>
      </c>
      <c r="H58" t="s">
        <v>20</v>
      </c>
      <c r="I58" t="s">
        <v>21</v>
      </c>
      <c r="J58" t="s">
        <v>22</v>
      </c>
      <c r="K58">
        <v>5</v>
      </c>
      <c r="L58" t="s">
        <v>25</v>
      </c>
      <c r="M58" s="2">
        <v>0.58330000000000004</v>
      </c>
      <c r="N58" s="2">
        <v>0.58330000000000004</v>
      </c>
    </row>
    <row r="59" spans="1:14" x14ac:dyDescent="0.2">
      <c r="A59" t="s">
        <v>14</v>
      </c>
      <c r="B59" t="s">
        <v>15</v>
      </c>
      <c r="C59" s="4">
        <v>46070</v>
      </c>
      <c r="D59">
        <v>2</v>
      </c>
      <c r="E59" t="s">
        <v>40</v>
      </c>
      <c r="F59" s="3">
        <v>0.85</v>
      </c>
      <c r="G59">
        <v>5</v>
      </c>
      <c r="H59" t="s">
        <v>20</v>
      </c>
      <c r="I59" t="s">
        <v>21</v>
      </c>
      <c r="J59" t="s">
        <v>22</v>
      </c>
      <c r="K59">
        <v>6</v>
      </c>
      <c r="L59" t="s">
        <v>25</v>
      </c>
      <c r="M59" s="2">
        <v>0.58330000000000004</v>
      </c>
      <c r="N59" s="2">
        <v>0.58330000000000004</v>
      </c>
    </row>
    <row r="60" spans="1:14" x14ac:dyDescent="0.2">
      <c r="A60" t="s">
        <v>14</v>
      </c>
      <c r="B60" t="s">
        <v>15</v>
      </c>
      <c r="C60" s="4">
        <v>46070</v>
      </c>
      <c r="D60">
        <v>2</v>
      </c>
      <c r="E60" t="s">
        <v>40</v>
      </c>
      <c r="F60" s="3">
        <v>0.85</v>
      </c>
      <c r="G60">
        <v>5</v>
      </c>
      <c r="H60" t="s">
        <v>20</v>
      </c>
      <c r="I60" t="s">
        <v>21</v>
      </c>
      <c r="J60" t="s">
        <v>22</v>
      </c>
      <c r="K60">
        <v>7</v>
      </c>
      <c r="L60" t="s">
        <v>23</v>
      </c>
      <c r="M60" s="2">
        <v>0.58330000000000004</v>
      </c>
      <c r="N60" s="2">
        <v>0.58330000000000004</v>
      </c>
    </row>
    <row r="61" spans="1:14" x14ac:dyDescent="0.2">
      <c r="A61" t="s">
        <v>14</v>
      </c>
      <c r="B61" t="s">
        <v>15</v>
      </c>
      <c r="C61" s="4">
        <v>46070</v>
      </c>
      <c r="D61">
        <v>2</v>
      </c>
      <c r="E61" t="s">
        <v>40</v>
      </c>
      <c r="F61" s="3">
        <v>0.85</v>
      </c>
      <c r="G61">
        <v>5</v>
      </c>
      <c r="H61" t="s">
        <v>20</v>
      </c>
      <c r="I61" t="s">
        <v>21</v>
      </c>
      <c r="J61" t="s">
        <v>22</v>
      </c>
      <c r="K61">
        <v>8</v>
      </c>
      <c r="L61" t="s">
        <v>25</v>
      </c>
      <c r="M61" s="2">
        <v>0.58330000000000004</v>
      </c>
      <c r="N61" s="2">
        <v>0.58330000000000004</v>
      </c>
    </row>
    <row r="62" spans="1:14" x14ac:dyDescent="0.2">
      <c r="A62" t="s">
        <v>14</v>
      </c>
      <c r="B62" t="s">
        <v>15</v>
      </c>
      <c r="C62" s="4">
        <v>46070</v>
      </c>
      <c r="D62">
        <v>2</v>
      </c>
      <c r="E62" t="s">
        <v>40</v>
      </c>
      <c r="F62" s="3">
        <v>0.85</v>
      </c>
      <c r="G62">
        <v>5</v>
      </c>
      <c r="H62" t="s">
        <v>20</v>
      </c>
      <c r="I62" t="s">
        <v>21</v>
      </c>
      <c r="J62" t="s">
        <v>22</v>
      </c>
      <c r="K62">
        <v>9</v>
      </c>
      <c r="L62" t="s">
        <v>23</v>
      </c>
      <c r="M62" s="2">
        <v>0.58330000000000004</v>
      </c>
      <c r="N62" s="2">
        <v>0.58330000000000004</v>
      </c>
    </row>
    <row r="63" spans="1:14" x14ac:dyDescent="0.2">
      <c r="A63" t="s">
        <v>14</v>
      </c>
      <c r="B63" t="s">
        <v>15</v>
      </c>
      <c r="C63" s="4">
        <v>46070</v>
      </c>
      <c r="D63">
        <v>2</v>
      </c>
      <c r="E63" t="s">
        <v>40</v>
      </c>
      <c r="F63" s="3">
        <v>0.85</v>
      </c>
      <c r="G63">
        <v>5</v>
      </c>
      <c r="H63" t="s">
        <v>20</v>
      </c>
      <c r="I63" t="s">
        <v>21</v>
      </c>
      <c r="J63" t="s">
        <v>22</v>
      </c>
      <c r="K63">
        <v>10</v>
      </c>
      <c r="L63" t="s">
        <v>23</v>
      </c>
      <c r="M63" s="2">
        <v>0.58330000000000004</v>
      </c>
      <c r="N63" s="2">
        <v>0.58330000000000004</v>
      </c>
    </row>
    <row r="64" spans="1:14" x14ac:dyDescent="0.2">
      <c r="A64" t="s">
        <v>14</v>
      </c>
      <c r="B64" t="s">
        <v>15</v>
      </c>
      <c r="C64" s="4">
        <v>46070</v>
      </c>
      <c r="D64">
        <v>2</v>
      </c>
      <c r="E64" t="s">
        <v>40</v>
      </c>
      <c r="F64" s="3">
        <v>0.85</v>
      </c>
      <c r="G64">
        <v>5</v>
      </c>
      <c r="H64" t="s">
        <v>20</v>
      </c>
      <c r="I64" t="s">
        <v>21</v>
      </c>
      <c r="J64" t="s">
        <v>22</v>
      </c>
      <c r="K64">
        <v>11</v>
      </c>
      <c r="L64" t="s">
        <v>25</v>
      </c>
      <c r="M64" s="2">
        <v>0.58330000000000004</v>
      </c>
      <c r="N64" s="2">
        <v>0.58330000000000004</v>
      </c>
    </row>
    <row r="65" spans="1:14" x14ac:dyDescent="0.2">
      <c r="A65" t="s">
        <v>14</v>
      </c>
      <c r="B65" t="s">
        <v>15</v>
      </c>
      <c r="C65" s="4">
        <v>46070</v>
      </c>
      <c r="D65">
        <v>2</v>
      </c>
      <c r="E65" t="s">
        <v>40</v>
      </c>
      <c r="F65" s="3">
        <v>0.85</v>
      </c>
      <c r="G65">
        <v>5</v>
      </c>
      <c r="H65" t="s">
        <v>20</v>
      </c>
      <c r="I65" t="s">
        <v>21</v>
      </c>
      <c r="J65" t="s">
        <v>22</v>
      </c>
      <c r="K65">
        <v>12</v>
      </c>
      <c r="L65" t="s">
        <v>23</v>
      </c>
      <c r="M65" s="2">
        <v>0.58330000000000004</v>
      </c>
      <c r="N65" s="2">
        <v>0.58330000000000004</v>
      </c>
    </row>
    <row r="66" spans="1:14" x14ac:dyDescent="0.2">
      <c r="A66" t="s">
        <v>14</v>
      </c>
      <c r="B66" t="s">
        <v>15</v>
      </c>
      <c r="C66" s="4">
        <v>46073</v>
      </c>
      <c r="D66">
        <v>2</v>
      </c>
      <c r="E66" t="s">
        <v>33</v>
      </c>
      <c r="F66" s="3">
        <v>0.85</v>
      </c>
      <c r="G66">
        <v>5</v>
      </c>
      <c r="H66" t="s">
        <v>20</v>
      </c>
      <c r="I66" t="s">
        <v>21</v>
      </c>
      <c r="J66" t="s">
        <v>22</v>
      </c>
      <c r="K66">
        <v>1</v>
      </c>
      <c r="L66" t="s">
        <v>25</v>
      </c>
      <c r="M66" s="2">
        <v>0.5</v>
      </c>
      <c r="N66" s="2">
        <v>0.5</v>
      </c>
    </row>
    <row r="67" spans="1:14" x14ac:dyDescent="0.2">
      <c r="A67" t="s">
        <v>14</v>
      </c>
      <c r="B67" t="s">
        <v>15</v>
      </c>
      <c r="C67" s="4">
        <v>46073</v>
      </c>
      <c r="D67">
        <v>2</v>
      </c>
      <c r="E67" t="s">
        <v>33</v>
      </c>
      <c r="F67" s="3">
        <v>0.85</v>
      </c>
      <c r="G67">
        <v>5</v>
      </c>
      <c r="H67" t="s">
        <v>20</v>
      </c>
      <c r="I67" t="s">
        <v>21</v>
      </c>
      <c r="J67" t="s">
        <v>22</v>
      </c>
      <c r="K67">
        <v>2</v>
      </c>
      <c r="L67" t="s">
        <v>23</v>
      </c>
      <c r="M67" s="2">
        <v>0.5</v>
      </c>
      <c r="N67" s="2">
        <v>0.5</v>
      </c>
    </row>
    <row r="68" spans="1:14" x14ac:dyDescent="0.2">
      <c r="A68" t="s">
        <v>14</v>
      </c>
      <c r="B68" t="s">
        <v>15</v>
      </c>
      <c r="C68" s="4">
        <v>46073</v>
      </c>
      <c r="D68">
        <v>2</v>
      </c>
      <c r="E68" t="s">
        <v>33</v>
      </c>
      <c r="F68" s="3">
        <v>0.85</v>
      </c>
      <c r="G68">
        <v>5</v>
      </c>
      <c r="H68" t="s">
        <v>20</v>
      </c>
      <c r="I68" t="s">
        <v>21</v>
      </c>
      <c r="J68" t="s">
        <v>22</v>
      </c>
      <c r="K68">
        <v>3</v>
      </c>
      <c r="L68" t="s">
        <v>23</v>
      </c>
      <c r="M68" s="2">
        <v>0.5</v>
      </c>
      <c r="N68" s="2">
        <v>0.5</v>
      </c>
    </row>
    <row r="69" spans="1:14" x14ac:dyDescent="0.2">
      <c r="A69" t="s">
        <v>14</v>
      </c>
      <c r="B69" t="s">
        <v>15</v>
      </c>
      <c r="C69" s="4">
        <v>46073</v>
      </c>
      <c r="D69">
        <v>2</v>
      </c>
      <c r="E69" t="s">
        <v>33</v>
      </c>
      <c r="F69" s="3">
        <v>0.85</v>
      </c>
      <c r="G69">
        <v>5</v>
      </c>
      <c r="H69" t="s">
        <v>20</v>
      </c>
      <c r="I69" t="s">
        <v>21</v>
      </c>
      <c r="J69" t="s">
        <v>22</v>
      </c>
      <c r="K69">
        <v>4</v>
      </c>
      <c r="L69" t="s">
        <v>25</v>
      </c>
      <c r="M69" s="2">
        <v>0.5</v>
      </c>
      <c r="N69" s="2">
        <v>0.5</v>
      </c>
    </row>
    <row r="70" spans="1:14" x14ac:dyDescent="0.2">
      <c r="A70" t="s">
        <v>14</v>
      </c>
      <c r="B70" t="s">
        <v>15</v>
      </c>
      <c r="C70" s="4">
        <v>46073</v>
      </c>
      <c r="D70">
        <v>2</v>
      </c>
      <c r="E70" t="s">
        <v>33</v>
      </c>
      <c r="F70" s="3">
        <v>0.85</v>
      </c>
      <c r="G70">
        <v>5</v>
      </c>
      <c r="H70" t="s">
        <v>20</v>
      </c>
      <c r="I70" t="s">
        <v>21</v>
      </c>
      <c r="J70" t="s">
        <v>22</v>
      </c>
      <c r="K70">
        <v>5</v>
      </c>
      <c r="L70" t="s">
        <v>25</v>
      </c>
      <c r="M70" s="2">
        <v>0.5</v>
      </c>
      <c r="N70" s="2">
        <v>0.5</v>
      </c>
    </row>
    <row r="71" spans="1:14" x14ac:dyDescent="0.2">
      <c r="A71" t="s">
        <v>14</v>
      </c>
      <c r="B71" t="s">
        <v>15</v>
      </c>
      <c r="C71" s="4">
        <v>46073</v>
      </c>
      <c r="D71">
        <v>2</v>
      </c>
      <c r="E71" t="s">
        <v>33</v>
      </c>
      <c r="F71" s="3">
        <v>0.85</v>
      </c>
      <c r="G71">
        <v>5</v>
      </c>
      <c r="H71" t="s">
        <v>20</v>
      </c>
      <c r="I71" t="s">
        <v>21</v>
      </c>
      <c r="J71" t="s">
        <v>22</v>
      </c>
      <c r="K71">
        <v>6</v>
      </c>
      <c r="L71" t="s">
        <v>25</v>
      </c>
      <c r="M71" s="2">
        <v>0.5</v>
      </c>
      <c r="N71" s="2">
        <v>0.5</v>
      </c>
    </row>
    <row r="72" spans="1:14" x14ac:dyDescent="0.2">
      <c r="A72" t="s">
        <v>14</v>
      </c>
      <c r="B72" t="s">
        <v>15</v>
      </c>
      <c r="C72" s="4">
        <v>46073</v>
      </c>
      <c r="D72">
        <v>2</v>
      </c>
      <c r="E72" t="s">
        <v>33</v>
      </c>
      <c r="F72" s="3">
        <v>0.85</v>
      </c>
      <c r="G72">
        <v>5</v>
      </c>
      <c r="H72" t="s">
        <v>20</v>
      </c>
      <c r="I72" t="s">
        <v>21</v>
      </c>
      <c r="J72" t="s">
        <v>22</v>
      </c>
      <c r="K72">
        <v>7</v>
      </c>
      <c r="L72" t="s">
        <v>23</v>
      </c>
      <c r="M72" s="2">
        <v>0.5</v>
      </c>
      <c r="N72" s="2">
        <v>0.5</v>
      </c>
    </row>
    <row r="73" spans="1:14" x14ac:dyDescent="0.2">
      <c r="A73" t="s">
        <v>14</v>
      </c>
      <c r="B73" t="s">
        <v>15</v>
      </c>
      <c r="C73" s="4">
        <v>46073</v>
      </c>
      <c r="D73">
        <v>2</v>
      </c>
      <c r="E73" t="s">
        <v>33</v>
      </c>
      <c r="F73" s="3">
        <v>0.85</v>
      </c>
      <c r="G73">
        <v>5</v>
      </c>
      <c r="H73" t="s">
        <v>20</v>
      </c>
      <c r="I73" t="s">
        <v>21</v>
      </c>
      <c r="J73" t="s">
        <v>22</v>
      </c>
      <c r="K73">
        <v>8</v>
      </c>
      <c r="L73" t="s">
        <v>23</v>
      </c>
      <c r="M73" s="2">
        <v>0.5</v>
      </c>
      <c r="N73" s="2">
        <v>0.5</v>
      </c>
    </row>
    <row r="74" spans="1:14" x14ac:dyDescent="0.2">
      <c r="A74" t="s">
        <v>14</v>
      </c>
      <c r="B74" t="s">
        <v>15</v>
      </c>
      <c r="C74" s="4">
        <v>46077</v>
      </c>
      <c r="D74">
        <v>2</v>
      </c>
      <c r="E74" t="s">
        <v>33</v>
      </c>
      <c r="F74" s="3">
        <v>0.85</v>
      </c>
      <c r="G74">
        <v>5</v>
      </c>
      <c r="H74" t="s">
        <v>20</v>
      </c>
      <c r="I74" t="s">
        <v>21</v>
      </c>
      <c r="J74" t="s">
        <v>22</v>
      </c>
      <c r="K74">
        <v>1</v>
      </c>
      <c r="L74" t="s">
        <v>25</v>
      </c>
      <c r="M74" s="2">
        <v>0.625</v>
      </c>
      <c r="N74" s="2">
        <v>0.625</v>
      </c>
    </row>
    <row r="75" spans="1:14" x14ac:dyDescent="0.2">
      <c r="A75" t="s">
        <v>14</v>
      </c>
      <c r="B75" t="s">
        <v>15</v>
      </c>
      <c r="C75" s="4">
        <v>46077</v>
      </c>
      <c r="D75">
        <v>2</v>
      </c>
      <c r="E75" t="s">
        <v>33</v>
      </c>
      <c r="F75" s="3">
        <v>0.85</v>
      </c>
      <c r="G75">
        <v>5</v>
      </c>
      <c r="H75" t="s">
        <v>20</v>
      </c>
      <c r="I75" t="s">
        <v>21</v>
      </c>
      <c r="J75" t="s">
        <v>22</v>
      </c>
      <c r="K75">
        <v>2</v>
      </c>
      <c r="L75" t="s">
        <v>23</v>
      </c>
      <c r="M75" s="2">
        <v>0.625</v>
      </c>
      <c r="N75" s="2">
        <v>0.625</v>
      </c>
    </row>
    <row r="76" spans="1:14" x14ac:dyDescent="0.2">
      <c r="A76" t="s">
        <v>14</v>
      </c>
      <c r="B76" t="s">
        <v>15</v>
      </c>
      <c r="C76" s="4">
        <v>46077</v>
      </c>
      <c r="D76">
        <v>2</v>
      </c>
      <c r="E76" t="s">
        <v>33</v>
      </c>
      <c r="F76" s="3">
        <v>0.85</v>
      </c>
      <c r="G76">
        <v>5</v>
      </c>
      <c r="H76" t="s">
        <v>20</v>
      </c>
      <c r="I76" t="s">
        <v>21</v>
      </c>
      <c r="J76" t="s">
        <v>22</v>
      </c>
      <c r="K76">
        <v>3</v>
      </c>
      <c r="L76" t="s">
        <v>25</v>
      </c>
      <c r="M76" s="2">
        <v>0.625</v>
      </c>
      <c r="N76" s="2">
        <v>0.625</v>
      </c>
    </row>
    <row r="77" spans="1:14" x14ac:dyDescent="0.2">
      <c r="A77" t="s">
        <v>14</v>
      </c>
      <c r="B77" t="s">
        <v>15</v>
      </c>
      <c r="C77" s="4">
        <v>46077</v>
      </c>
      <c r="D77">
        <v>2</v>
      </c>
      <c r="E77" t="s">
        <v>33</v>
      </c>
      <c r="F77" s="3">
        <v>0.85</v>
      </c>
      <c r="G77">
        <v>5</v>
      </c>
      <c r="H77" t="s">
        <v>20</v>
      </c>
      <c r="I77" t="s">
        <v>21</v>
      </c>
      <c r="J77" t="s">
        <v>22</v>
      </c>
      <c r="K77">
        <v>4</v>
      </c>
      <c r="L77" t="s">
        <v>25</v>
      </c>
      <c r="M77" s="2">
        <v>0.625</v>
      </c>
      <c r="N77" s="2">
        <v>0.625</v>
      </c>
    </row>
    <row r="78" spans="1:14" x14ac:dyDescent="0.2">
      <c r="A78" t="s">
        <v>14</v>
      </c>
      <c r="B78" t="s">
        <v>15</v>
      </c>
      <c r="C78" s="4">
        <v>46077</v>
      </c>
      <c r="D78">
        <v>2</v>
      </c>
      <c r="E78" t="s">
        <v>33</v>
      </c>
      <c r="F78" s="3">
        <v>0.85</v>
      </c>
      <c r="G78">
        <v>5</v>
      </c>
      <c r="H78" t="s">
        <v>20</v>
      </c>
      <c r="I78" t="s">
        <v>21</v>
      </c>
      <c r="J78" t="s">
        <v>22</v>
      </c>
      <c r="K78">
        <v>5</v>
      </c>
      <c r="L78" t="s">
        <v>25</v>
      </c>
      <c r="M78" s="2">
        <v>0.625</v>
      </c>
      <c r="N78" s="2">
        <v>0.625</v>
      </c>
    </row>
    <row r="79" spans="1:14" x14ac:dyDescent="0.2">
      <c r="A79" t="s">
        <v>14</v>
      </c>
      <c r="B79" t="s">
        <v>15</v>
      </c>
      <c r="C79" s="4">
        <v>46077</v>
      </c>
      <c r="D79">
        <v>2</v>
      </c>
      <c r="E79" t="s">
        <v>33</v>
      </c>
      <c r="F79" s="3">
        <v>0.85</v>
      </c>
      <c r="G79">
        <v>5</v>
      </c>
      <c r="H79" t="s">
        <v>20</v>
      </c>
      <c r="I79" t="s">
        <v>21</v>
      </c>
      <c r="J79" t="s">
        <v>22</v>
      </c>
      <c r="K79">
        <v>6</v>
      </c>
      <c r="L79" t="s">
        <v>25</v>
      </c>
      <c r="M79" s="2">
        <v>0.625</v>
      </c>
      <c r="N79" s="2">
        <v>0.625</v>
      </c>
    </row>
    <row r="80" spans="1:14" x14ac:dyDescent="0.2">
      <c r="A80" t="s">
        <v>14</v>
      </c>
      <c r="B80" t="s">
        <v>15</v>
      </c>
      <c r="C80" s="4">
        <v>46077</v>
      </c>
      <c r="D80">
        <v>2</v>
      </c>
      <c r="E80" t="s">
        <v>33</v>
      </c>
      <c r="F80" s="3">
        <v>0.85</v>
      </c>
      <c r="G80">
        <v>5</v>
      </c>
      <c r="H80" t="s">
        <v>20</v>
      </c>
      <c r="I80" t="s">
        <v>21</v>
      </c>
      <c r="J80" t="s">
        <v>22</v>
      </c>
      <c r="K80">
        <v>7</v>
      </c>
      <c r="L80" t="s">
        <v>23</v>
      </c>
      <c r="M80" s="2">
        <v>0.625</v>
      </c>
      <c r="N80" s="2">
        <v>0.625</v>
      </c>
    </row>
    <row r="81" spans="1:14" x14ac:dyDescent="0.2">
      <c r="A81" t="s">
        <v>14</v>
      </c>
      <c r="B81" t="s">
        <v>15</v>
      </c>
      <c r="C81" s="4">
        <v>46077</v>
      </c>
      <c r="D81">
        <v>2</v>
      </c>
      <c r="E81" t="s">
        <v>33</v>
      </c>
      <c r="F81" s="3">
        <v>0.85</v>
      </c>
      <c r="G81">
        <v>5</v>
      </c>
      <c r="H81" t="s">
        <v>20</v>
      </c>
      <c r="I81" t="s">
        <v>21</v>
      </c>
      <c r="J81" t="s">
        <v>22</v>
      </c>
      <c r="K81">
        <v>8</v>
      </c>
      <c r="L81" t="s">
        <v>23</v>
      </c>
      <c r="M81" s="2">
        <v>0.625</v>
      </c>
      <c r="N81" s="2">
        <v>0.625</v>
      </c>
    </row>
    <row r="82" spans="1:14" x14ac:dyDescent="0.2">
      <c r="A82" t="s">
        <v>14</v>
      </c>
      <c r="B82" t="s">
        <v>15</v>
      </c>
      <c r="C82" s="4">
        <v>46078</v>
      </c>
      <c r="D82">
        <v>1</v>
      </c>
      <c r="E82" t="s">
        <v>33</v>
      </c>
      <c r="F82" s="3">
        <v>0.85</v>
      </c>
      <c r="G82">
        <v>5</v>
      </c>
      <c r="H82" t="s">
        <v>20</v>
      </c>
      <c r="I82" t="s">
        <v>21</v>
      </c>
      <c r="J82" t="s">
        <v>22</v>
      </c>
      <c r="K82">
        <v>1</v>
      </c>
      <c r="L82" t="s">
        <v>23</v>
      </c>
      <c r="M82" s="2">
        <v>0.57140000000000002</v>
      </c>
      <c r="N82" s="2">
        <v>0.57140000000000002</v>
      </c>
    </row>
    <row r="83" spans="1:14" x14ac:dyDescent="0.2">
      <c r="A83" t="s">
        <v>14</v>
      </c>
      <c r="B83" t="s">
        <v>15</v>
      </c>
      <c r="C83" s="4">
        <v>46078</v>
      </c>
      <c r="D83">
        <v>1</v>
      </c>
      <c r="E83" t="s">
        <v>33</v>
      </c>
      <c r="F83" s="3">
        <v>0.85</v>
      </c>
      <c r="G83">
        <v>5</v>
      </c>
      <c r="H83" t="s">
        <v>20</v>
      </c>
      <c r="I83" t="s">
        <v>21</v>
      </c>
      <c r="J83" t="s">
        <v>22</v>
      </c>
      <c r="K83">
        <v>2</v>
      </c>
      <c r="L83" t="s">
        <v>25</v>
      </c>
      <c r="M83" s="2">
        <v>0.57140000000000002</v>
      </c>
      <c r="N83" s="2">
        <v>0.57140000000000002</v>
      </c>
    </row>
    <row r="84" spans="1:14" x14ac:dyDescent="0.2">
      <c r="A84" t="s">
        <v>14</v>
      </c>
      <c r="B84" t="s">
        <v>15</v>
      </c>
      <c r="C84" s="4">
        <v>46078</v>
      </c>
      <c r="D84">
        <v>1</v>
      </c>
      <c r="E84" t="s">
        <v>33</v>
      </c>
      <c r="F84" s="3">
        <v>0.85</v>
      </c>
      <c r="G84">
        <v>5</v>
      </c>
      <c r="H84" t="s">
        <v>20</v>
      </c>
      <c r="I84" t="s">
        <v>21</v>
      </c>
      <c r="J84" t="s">
        <v>22</v>
      </c>
      <c r="K84">
        <v>3</v>
      </c>
      <c r="L84" t="s">
        <v>25</v>
      </c>
      <c r="M84" s="2">
        <v>0.57140000000000002</v>
      </c>
      <c r="N84" s="2">
        <v>0.57140000000000002</v>
      </c>
    </row>
    <row r="85" spans="1:14" x14ac:dyDescent="0.2">
      <c r="A85" t="s">
        <v>14</v>
      </c>
      <c r="B85" t="s">
        <v>15</v>
      </c>
      <c r="C85" s="4">
        <v>46078</v>
      </c>
      <c r="D85">
        <v>1</v>
      </c>
      <c r="E85" t="s">
        <v>33</v>
      </c>
      <c r="F85" s="3">
        <v>0.85</v>
      </c>
      <c r="G85">
        <v>5</v>
      </c>
      <c r="H85" t="s">
        <v>20</v>
      </c>
      <c r="I85" t="s">
        <v>21</v>
      </c>
      <c r="J85" t="s">
        <v>22</v>
      </c>
      <c r="K85">
        <v>4</v>
      </c>
      <c r="L85" t="s">
        <v>25</v>
      </c>
      <c r="M85" s="2">
        <v>0.57140000000000002</v>
      </c>
      <c r="N85" s="2">
        <v>0.57140000000000002</v>
      </c>
    </row>
    <row r="86" spans="1:14" x14ac:dyDescent="0.2">
      <c r="A86" t="s">
        <v>14</v>
      </c>
      <c r="B86" t="s">
        <v>15</v>
      </c>
      <c r="C86" s="4">
        <v>46078</v>
      </c>
      <c r="D86">
        <v>1</v>
      </c>
      <c r="E86" t="s">
        <v>33</v>
      </c>
      <c r="F86" s="3">
        <v>0.85</v>
      </c>
      <c r="G86">
        <v>5</v>
      </c>
      <c r="H86" t="s">
        <v>20</v>
      </c>
      <c r="I86" t="s">
        <v>21</v>
      </c>
      <c r="J86" t="s">
        <v>22</v>
      </c>
      <c r="K86">
        <v>5</v>
      </c>
      <c r="L86" t="s">
        <v>23</v>
      </c>
      <c r="M86" s="2">
        <v>0.57140000000000002</v>
      </c>
      <c r="N86" s="2">
        <v>0.57140000000000002</v>
      </c>
    </row>
    <row r="87" spans="1:14" x14ac:dyDescent="0.2">
      <c r="A87" t="s">
        <v>14</v>
      </c>
      <c r="B87" t="s">
        <v>15</v>
      </c>
      <c r="C87" s="4">
        <v>46078</v>
      </c>
      <c r="D87">
        <v>1</v>
      </c>
      <c r="E87" t="s">
        <v>33</v>
      </c>
      <c r="F87" s="3">
        <v>0.85</v>
      </c>
      <c r="G87">
        <v>5</v>
      </c>
      <c r="H87" t="s">
        <v>20</v>
      </c>
      <c r="I87" t="s">
        <v>21</v>
      </c>
      <c r="J87" t="s">
        <v>22</v>
      </c>
      <c r="K87">
        <v>6</v>
      </c>
      <c r="L87" t="s">
        <v>23</v>
      </c>
      <c r="M87" s="2">
        <v>0.57140000000000002</v>
      </c>
      <c r="N87" s="2">
        <v>0.57140000000000002</v>
      </c>
    </row>
    <row r="88" spans="1:14" x14ac:dyDescent="0.2">
      <c r="A88" t="s">
        <v>14</v>
      </c>
      <c r="B88" t="s">
        <v>15</v>
      </c>
      <c r="C88" s="4">
        <v>46078</v>
      </c>
      <c r="D88">
        <v>1</v>
      </c>
      <c r="E88" t="s">
        <v>33</v>
      </c>
      <c r="F88" s="3">
        <v>0.85</v>
      </c>
      <c r="G88">
        <v>5</v>
      </c>
      <c r="H88" t="s">
        <v>20</v>
      </c>
      <c r="I88" t="s">
        <v>21</v>
      </c>
      <c r="J88" t="s">
        <v>22</v>
      </c>
      <c r="K88">
        <v>7</v>
      </c>
      <c r="L88" t="s">
        <v>25</v>
      </c>
      <c r="M88" s="2">
        <v>0.57140000000000002</v>
      </c>
      <c r="N88" s="2">
        <v>0.57140000000000002</v>
      </c>
    </row>
    <row r="89" spans="1:14" x14ac:dyDescent="0.2">
      <c r="A89" t="s">
        <v>14</v>
      </c>
      <c r="B89" t="s">
        <v>15</v>
      </c>
      <c r="C89" s="4">
        <v>46081</v>
      </c>
      <c r="D89">
        <v>3</v>
      </c>
      <c r="E89" t="s">
        <v>43</v>
      </c>
      <c r="F89" s="3">
        <v>0.85</v>
      </c>
      <c r="G89">
        <v>5</v>
      </c>
      <c r="H89" t="s">
        <v>20</v>
      </c>
      <c r="I89" t="s">
        <v>21</v>
      </c>
      <c r="J89" t="s">
        <v>22</v>
      </c>
      <c r="K89">
        <v>1</v>
      </c>
      <c r="L89" t="s">
        <v>25</v>
      </c>
      <c r="M89" s="2">
        <v>0.9</v>
      </c>
      <c r="N89" s="2">
        <v>0.9</v>
      </c>
    </row>
    <row r="90" spans="1:14" x14ac:dyDescent="0.2">
      <c r="A90" t="s">
        <v>14</v>
      </c>
      <c r="B90" t="s">
        <v>15</v>
      </c>
      <c r="C90" s="4">
        <v>46081</v>
      </c>
      <c r="D90">
        <v>3</v>
      </c>
      <c r="E90" t="s">
        <v>43</v>
      </c>
      <c r="F90" s="3">
        <v>0.85</v>
      </c>
      <c r="G90">
        <v>5</v>
      </c>
      <c r="H90" t="s">
        <v>20</v>
      </c>
      <c r="I90" t="s">
        <v>21</v>
      </c>
      <c r="J90" t="s">
        <v>22</v>
      </c>
      <c r="K90">
        <v>2</v>
      </c>
      <c r="L90" t="s">
        <v>25</v>
      </c>
      <c r="M90" s="2">
        <v>0.9</v>
      </c>
      <c r="N90" s="2">
        <v>0.9</v>
      </c>
    </row>
    <row r="91" spans="1:14" x14ac:dyDescent="0.2">
      <c r="A91" t="s">
        <v>14</v>
      </c>
      <c r="B91" t="s">
        <v>15</v>
      </c>
      <c r="C91" s="4">
        <v>46081</v>
      </c>
      <c r="D91">
        <v>3</v>
      </c>
      <c r="E91" t="s">
        <v>43</v>
      </c>
      <c r="F91" s="3">
        <v>0.85</v>
      </c>
      <c r="G91">
        <v>5</v>
      </c>
      <c r="H91" t="s">
        <v>20</v>
      </c>
      <c r="I91" t="s">
        <v>21</v>
      </c>
      <c r="J91" t="s">
        <v>22</v>
      </c>
      <c r="K91">
        <v>3</v>
      </c>
      <c r="L91" t="s">
        <v>25</v>
      </c>
      <c r="M91" s="2">
        <v>0.9</v>
      </c>
      <c r="N91" s="2">
        <v>0.9</v>
      </c>
    </row>
    <row r="92" spans="1:14" x14ac:dyDescent="0.2">
      <c r="A92" t="s">
        <v>14</v>
      </c>
      <c r="B92" t="s">
        <v>15</v>
      </c>
      <c r="C92" s="4">
        <v>46081</v>
      </c>
      <c r="D92">
        <v>3</v>
      </c>
      <c r="E92" t="s">
        <v>43</v>
      </c>
      <c r="F92" s="3">
        <v>0.85</v>
      </c>
      <c r="G92">
        <v>5</v>
      </c>
      <c r="H92" t="s">
        <v>20</v>
      </c>
      <c r="I92" t="s">
        <v>21</v>
      </c>
      <c r="J92" t="s">
        <v>22</v>
      </c>
      <c r="K92">
        <v>4</v>
      </c>
      <c r="L92" t="s">
        <v>25</v>
      </c>
      <c r="M92" s="2">
        <v>0.9</v>
      </c>
      <c r="N92" s="2">
        <v>0.9</v>
      </c>
    </row>
    <row r="93" spans="1:14" x14ac:dyDescent="0.2">
      <c r="A93" t="s">
        <v>14</v>
      </c>
      <c r="B93" t="s">
        <v>15</v>
      </c>
      <c r="C93" s="4">
        <v>46081</v>
      </c>
      <c r="D93">
        <v>3</v>
      </c>
      <c r="E93" t="s">
        <v>43</v>
      </c>
      <c r="F93" s="3">
        <v>0.85</v>
      </c>
      <c r="G93">
        <v>5</v>
      </c>
      <c r="H93" t="s">
        <v>20</v>
      </c>
      <c r="I93" t="s">
        <v>21</v>
      </c>
      <c r="J93" t="s">
        <v>22</v>
      </c>
      <c r="K93">
        <v>5</v>
      </c>
      <c r="L93" t="s">
        <v>25</v>
      </c>
      <c r="M93" s="2">
        <v>0.9</v>
      </c>
      <c r="N93" s="2">
        <v>0.9</v>
      </c>
    </row>
    <row r="94" spans="1:14" x14ac:dyDescent="0.2">
      <c r="A94" t="s">
        <v>14</v>
      </c>
      <c r="B94" t="s">
        <v>15</v>
      </c>
      <c r="C94" s="4">
        <v>46081</v>
      </c>
      <c r="D94">
        <v>3</v>
      </c>
      <c r="E94" t="s">
        <v>43</v>
      </c>
      <c r="F94" s="3">
        <v>0.85</v>
      </c>
      <c r="G94">
        <v>5</v>
      </c>
      <c r="H94" t="s">
        <v>20</v>
      </c>
      <c r="I94" t="s">
        <v>21</v>
      </c>
      <c r="J94" t="s">
        <v>22</v>
      </c>
      <c r="K94">
        <v>6</v>
      </c>
      <c r="L94" t="s">
        <v>25</v>
      </c>
      <c r="M94" s="2">
        <v>0.9</v>
      </c>
      <c r="N94" s="2">
        <v>0.9</v>
      </c>
    </row>
    <row r="95" spans="1:14" x14ac:dyDescent="0.2">
      <c r="A95" t="s">
        <v>14</v>
      </c>
      <c r="B95" t="s">
        <v>15</v>
      </c>
      <c r="C95" s="4">
        <v>46081</v>
      </c>
      <c r="D95">
        <v>3</v>
      </c>
      <c r="E95" t="s">
        <v>43</v>
      </c>
      <c r="F95" s="3">
        <v>0.85</v>
      </c>
      <c r="G95">
        <v>5</v>
      </c>
      <c r="H95" t="s">
        <v>20</v>
      </c>
      <c r="I95" t="s">
        <v>21</v>
      </c>
      <c r="J95" t="s">
        <v>22</v>
      </c>
      <c r="K95">
        <v>7</v>
      </c>
      <c r="L95" t="s">
        <v>23</v>
      </c>
      <c r="M95" s="2">
        <v>0.9</v>
      </c>
      <c r="N95" s="2">
        <v>0.9</v>
      </c>
    </row>
    <row r="96" spans="1:14" x14ac:dyDescent="0.2">
      <c r="A96" t="s">
        <v>14</v>
      </c>
      <c r="B96" t="s">
        <v>15</v>
      </c>
      <c r="C96" s="4">
        <v>46081</v>
      </c>
      <c r="D96">
        <v>3</v>
      </c>
      <c r="E96" t="s">
        <v>43</v>
      </c>
      <c r="F96" s="3">
        <v>0.85</v>
      </c>
      <c r="G96">
        <v>5</v>
      </c>
      <c r="H96" t="s">
        <v>20</v>
      </c>
      <c r="I96" t="s">
        <v>21</v>
      </c>
      <c r="J96" t="s">
        <v>22</v>
      </c>
      <c r="K96">
        <v>8</v>
      </c>
      <c r="L96" t="s">
        <v>25</v>
      </c>
      <c r="M96" s="2">
        <v>0.9</v>
      </c>
      <c r="N96" s="2">
        <v>0.9</v>
      </c>
    </row>
    <row r="97" spans="1:14" x14ac:dyDescent="0.2">
      <c r="A97" t="s">
        <v>14</v>
      </c>
      <c r="B97" t="s">
        <v>15</v>
      </c>
      <c r="C97" s="4">
        <v>46081</v>
      </c>
      <c r="D97">
        <v>3</v>
      </c>
      <c r="E97" t="s">
        <v>43</v>
      </c>
      <c r="F97" s="3">
        <v>0.85</v>
      </c>
      <c r="G97">
        <v>5</v>
      </c>
      <c r="H97" t="s">
        <v>20</v>
      </c>
      <c r="I97" t="s">
        <v>21</v>
      </c>
      <c r="J97" t="s">
        <v>22</v>
      </c>
      <c r="K97">
        <v>9</v>
      </c>
      <c r="L97" t="s">
        <v>25</v>
      </c>
      <c r="M97" s="2">
        <v>0.9</v>
      </c>
      <c r="N97" s="2">
        <v>0.9</v>
      </c>
    </row>
    <row r="98" spans="1:14" x14ac:dyDescent="0.2">
      <c r="A98" t="s">
        <v>14</v>
      </c>
      <c r="B98" t="s">
        <v>15</v>
      </c>
      <c r="C98" s="4">
        <v>46081</v>
      </c>
      <c r="D98">
        <v>3</v>
      </c>
      <c r="E98" t="s">
        <v>43</v>
      </c>
      <c r="F98" s="3">
        <v>0.85</v>
      </c>
      <c r="G98">
        <v>5</v>
      </c>
      <c r="H98" t="s">
        <v>20</v>
      </c>
      <c r="I98" t="s">
        <v>21</v>
      </c>
      <c r="J98" t="s">
        <v>22</v>
      </c>
      <c r="K98">
        <v>10</v>
      </c>
      <c r="L98" t="s">
        <v>25</v>
      </c>
      <c r="M98" s="2">
        <v>0.9</v>
      </c>
      <c r="N98" s="2">
        <v>0.9</v>
      </c>
    </row>
    <row r="99" spans="1:14" x14ac:dyDescent="0.2">
      <c r="A99" t="s">
        <v>14</v>
      </c>
      <c r="B99" t="s">
        <v>15</v>
      </c>
      <c r="C99" s="4">
        <v>46085</v>
      </c>
      <c r="D99">
        <v>2</v>
      </c>
      <c r="E99" t="s">
        <v>18</v>
      </c>
      <c r="F99" s="3">
        <v>0.85</v>
      </c>
      <c r="G99">
        <v>5</v>
      </c>
      <c r="H99" t="s">
        <v>20</v>
      </c>
      <c r="I99" t="s">
        <v>21</v>
      </c>
      <c r="J99" t="s">
        <v>22</v>
      </c>
      <c r="K99">
        <v>1</v>
      </c>
      <c r="L99" t="s">
        <v>25</v>
      </c>
      <c r="M99" s="2">
        <v>1</v>
      </c>
      <c r="N99" s="2">
        <v>1</v>
      </c>
    </row>
    <row r="100" spans="1:14" x14ac:dyDescent="0.2">
      <c r="A100" t="s">
        <v>14</v>
      </c>
      <c r="B100" t="s">
        <v>15</v>
      </c>
      <c r="C100" s="4">
        <v>46085</v>
      </c>
      <c r="D100">
        <v>2</v>
      </c>
      <c r="E100" t="s">
        <v>18</v>
      </c>
      <c r="F100" s="3">
        <v>0.85</v>
      </c>
      <c r="G100">
        <v>5</v>
      </c>
      <c r="H100" t="s">
        <v>20</v>
      </c>
      <c r="I100" t="s">
        <v>21</v>
      </c>
      <c r="J100" t="s">
        <v>22</v>
      </c>
      <c r="K100">
        <v>2</v>
      </c>
      <c r="L100" t="s">
        <v>25</v>
      </c>
      <c r="M100" s="2">
        <v>1</v>
      </c>
      <c r="N100" s="2">
        <v>1</v>
      </c>
    </row>
    <row r="101" spans="1:14" x14ac:dyDescent="0.2">
      <c r="A101" t="s">
        <v>14</v>
      </c>
      <c r="B101" t="s">
        <v>15</v>
      </c>
      <c r="C101" s="4">
        <v>46085</v>
      </c>
      <c r="D101">
        <v>2</v>
      </c>
      <c r="E101" t="s">
        <v>18</v>
      </c>
      <c r="F101" s="3">
        <v>0.85</v>
      </c>
      <c r="G101">
        <v>5</v>
      </c>
      <c r="H101" t="s">
        <v>20</v>
      </c>
      <c r="I101" t="s">
        <v>21</v>
      </c>
      <c r="J101" t="s">
        <v>22</v>
      </c>
      <c r="K101">
        <v>3</v>
      </c>
      <c r="L101" t="s">
        <v>25</v>
      </c>
      <c r="M101" s="2">
        <v>1</v>
      </c>
      <c r="N101" s="2">
        <v>1</v>
      </c>
    </row>
    <row r="102" spans="1:14" x14ac:dyDescent="0.2">
      <c r="A102" t="s">
        <v>14</v>
      </c>
      <c r="B102" t="s">
        <v>15</v>
      </c>
      <c r="C102" s="4">
        <v>46085</v>
      </c>
      <c r="D102">
        <v>2</v>
      </c>
      <c r="E102" t="s">
        <v>18</v>
      </c>
      <c r="F102" s="3">
        <v>0.85</v>
      </c>
      <c r="G102">
        <v>5</v>
      </c>
      <c r="H102" t="s">
        <v>20</v>
      </c>
      <c r="I102" t="s">
        <v>21</v>
      </c>
      <c r="J102" t="s">
        <v>22</v>
      </c>
      <c r="K102">
        <v>4</v>
      </c>
      <c r="L102" t="s">
        <v>25</v>
      </c>
      <c r="M102" s="2">
        <v>1</v>
      </c>
      <c r="N102" s="2">
        <v>1</v>
      </c>
    </row>
    <row r="103" spans="1:14" x14ac:dyDescent="0.2">
      <c r="A103" t="s">
        <v>14</v>
      </c>
      <c r="B103" t="s">
        <v>15</v>
      </c>
      <c r="C103" s="4">
        <v>46085</v>
      </c>
      <c r="D103">
        <v>2</v>
      </c>
      <c r="E103" t="s">
        <v>18</v>
      </c>
      <c r="F103" s="3">
        <v>0.85</v>
      </c>
      <c r="G103">
        <v>5</v>
      </c>
      <c r="H103" t="s">
        <v>20</v>
      </c>
      <c r="I103" t="s">
        <v>21</v>
      </c>
      <c r="J103" t="s">
        <v>22</v>
      </c>
      <c r="K103">
        <v>5</v>
      </c>
      <c r="L103" t="s">
        <v>25</v>
      </c>
      <c r="M103" s="2">
        <v>1</v>
      </c>
      <c r="N103" s="2">
        <v>1</v>
      </c>
    </row>
    <row r="104" spans="1:14" x14ac:dyDescent="0.2">
      <c r="A104" t="s">
        <v>14</v>
      </c>
      <c r="B104" t="s">
        <v>15</v>
      </c>
      <c r="C104" s="4">
        <v>46085</v>
      </c>
      <c r="D104">
        <v>2</v>
      </c>
      <c r="E104" t="s">
        <v>18</v>
      </c>
      <c r="F104" s="3">
        <v>0.85</v>
      </c>
      <c r="G104">
        <v>5</v>
      </c>
      <c r="H104" t="s">
        <v>20</v>
      </c>
      <c r="I104" t="s">
        <v>21</v>
      </c>
      <c r="J104" t="s">
        <v>22</v>
      </c>
      <c r="K104">
        <v>6</v>
      </c>
      <c r="L104" t="s">
        <v>25</v>
      </c>
      <c r="M104" s="2">
        <v>1</v>
      </c>
      <c r="N104" s="2">
        <v>1</v>
      </c>
    </row>
    <row r="105" spans="1:14" x14ac:dyDescent="0.2">
      <c r="A105" t="s">
        <v>14</v>
      </c>
      <c r="B105" t="s">
        <v>15</v>
      </c>
      <c r="C105" s="4">
        <v>46086</v>
      </c>
      <c r="D105">
        <v>2</v>
      </c>
      <c r="E105" t="s">
        <v>18</v>
      </c>
      <c r="F105" s="3">
        <v>0.85</v>
      </c>
      <c r="G105">
        <v>5</v>
      </c>
      <c r="H105" t="s">
        <v>20</v>
      </c>
      <c r="I105" t="s">
        <v>21</v>
      </c>
      <c r="J105" t="s">
        <v>22</v>
      </c>
      <c r="K105">
        <v>1</v>
      </c>
      <c r="L105" t="s">
        <v>25</v>
      </c>
      <c r="M105" s="2">
        <v>0.7</v>
      </c>
      <c r="N105" s="2">
        <v>0.7</v>
      </c>
    </row>
    <row r="106" spans="1:14" x14ac:dyDescent="0.2">
      <c r="A106" t="s">
        <v>14</v>
      </c>
      <c r="B106" t="s">
        <v>15</v>
      </c>
      <c r="C106" s="4">
        <v>46086</v>
      </c>
      <c r="D106">
        <v>2</v>
      </c>
      <c r="E106" t="s">
        <v>18</v>
      </c>
      <c r="F106" s="3">
        <v>0.85</v>
      </c>
      <c r="G106">
        <v>5</v>
      </c>
      <c r="H106" t="s">
        <v>20</v>
      </c>
      <c r="I106" t="s">
        <v>21</v>
      </c>
      <c r="J106" t="s">
        <v>22</v>
      </c>
      <c r="K106">
        <v>2</v>
      </c>
      <c r="L106" t="s">
        <v>25</v>
      </c>
      <c r="M106" s="2">
        <v>0.7</v>
      </c>
      <c r="N106" s="2">
        <v>0.7</v>
      </c>
    </row>
    <row r="107" spans="1:14" x14ac:dyDescent="0.2">
      <c r="A107" t="s">
        <v>14</v>
      </c>
      <c r="B107" t="s">
        <v>15</v>
      </c>
      <c r="C107" s="4">
        <v>46086</v>
      </c>
      <c r="D107">
        <v>2</v>
      </c>
      <c r="E107" t="s">
        <v>18</v>
      </c>
      <c r="F107" s="3">
        <v>0.85</v>
      </c>
      <c r="G107">
        <v>5</v>
      </c>
      <c r="H107" t="s">
        <v>20</v>
      </c>
      <c r="I107" t="s">
        <v>21</v>
      </c>
      <c r="J107" t="s">
        <v>22</v>
      </c>
      <c r="K107">
        <v>3</v>
      </c>
      <c r="L107" t="s">
        <v>25</v>
      </c>
      <c r="M107" s="2">
        <v>0.7</v>
      </c>
      <c r="N107" s="2">
        <v>0.7</v>
      </c>
    </row>
    <row r="108" spans="1:14" x14ac:dyDescent="0.2">
      <c r="A108" t="s">
        <v>14</v>
      </c>
      <c r="B108" t="s">
        <v>15</v>
      </c>
      <c r="C108" s="4">
        <v>46086</v>
      </c>
      <c r="D108">
        <v>2</v>
      </c>
      <c r="E108" t="s">
        <v>18</v>
      </c>
      <c r="F108" s="3">
        <v>0.85</v>
      </c>
      <c r="G108">
        <v>5</v>
      </c>
      <c r="H108" t="s">
        <v>20</v>
      </c>
      <c r="I108" t="s">
        <v>21</v>
      </c>
      <c r="J108" t="s">
        <v>22</v>
      </c>
      <c r="K108">
        <v>4</v>
      </c>
      <c r="L108" t="s">
        <v>23</v>
      </c>
      <c r="M108" s="2">
        <v>0.7</v>
      </c>
      <c r="N108" s="2">
        <v>0.7</v>
      </c>
    </row>
    <row r="109" spans="1:14" x14ac:dyDescent="0.2">
      <c r="A109" t="s">
        <v>14</v>
      </c>
      <c r="B109" t="s">
        <v>15</v>
      </c>
      <c r="C109" s="4">
        <v>46086</v>
      </c>
      <c r="D109">
        <v>2</v>
      </c>
      <c r="E109" t="s">
        <v>18</v>
      </c>
      <c r="F109" s="3">
        <v>0.85</v>
      </c>
      <c r="G109">
        <v>5</v>
      </c>
      <c r="H109" t="s">
        <v>20</v>
      </c>
      <c r="I109" t="s">
        <v>21</v>
      </c>
      <c r="J109" t="s">
        <v>22</v>
      </c>
      <c r="K109">
        <v>5</v>
      </c>
      <c r="L109" t="s">
        <v>25</v>
      </c>
      <c r="M109" s="2">
        <v>0.7</v>
      </c>
      <c r="N109" s="2">
        <v>0.7</v>
      </c>
    </row>
    <row r="110" spans="1:14" x14ac:dyDescent="0.2">
      <c r="A110" t="s">
        <v>14</v>
      </c>
      <c r="B110" t="s">
        <v>15</v>
      </c>
      <c r="C110" s="4">
        <v>46086</v>
      </c>
      <c r="D110">
        <v>2</v>
      </c>
      <c r="E110" t="s">
        <v>18</v>
      </c>
      <c r="F110" s="3">
        <v>0.85</v>
      </c>
      <c r="G110">
        <v>5</v>
      </c>
      <c r="H110" t="s">
        <v>20</v>
      </c>
      <c r="I110" t="s">
        <v>21</v>
      </c>
      <c r="J110" t="s">
        <v>22</v>
      </c>
      <c r="K110">
        <v>6</v>
      </c>
      <c r="L110" t="s">
        <v>25</v>
      </c>
      <c r="M110" s="2">
        <v>0.7</v>
      </c>
      <c r="N110" s="2">
        <v>0.7</v>
      </c>
    </row>
    <row r="111" spans="1:14" x14ac:dyDescent="0.2">
      <c r="A111" t="s">
        <v>14</v>
      </c>
      <c r="B111" t="s">
        <v>15</v>
      </c>
      <c r="C111" s="4">
        <v>46086</v>
      </c>
      <c r="D111">
        <v>2</v>
      </c>
      <c r="E111" t="s">
        <v>18</v>
      </c>
      <c r="F111" s="3">
        <v>0.85</v>
      </c>
      <c r="G111">
        <v>5</v>
      </c>
      <c r="H111" t="s">
        <v>20</v>
      </c>
      <c r="I111" t="s">
        <v>21</v>
      </c>
      <c r="J111" t="s">
        <v>22</v>
      </c>
      <c r="K111">
        <v>7</v>
      </c>
      <c r="L111" t="s">
        <v>23</v>
      </c>
      <c r="M111" s="2">
        <v>0.7</v>
      </c>
      <c r="N111" s="2">
        <v>0.7</v>
      </c>
    </row>
    <row r="112" spans="1:14" x14ac:dyDescent="0.2">
      <c r="A112" t="s">
        <v>14</v>
      </c>
      <c r="B112" t="s">
        <v>15</v>
      </c>
      <c r="C112" s="4">
        <v>46086</v>
      </c>
      <c r="D112">
        <v>2</v>
      </c>
      <c r="E112" t="s">
        <v>18</v>
      </c>
      <c r="F112" s="3">
        <v>0.85</v>
      </c>
      <c r="G112">
        <v>5</v>
      </c>
      <c r="H112" t="s">
        <v>20</v>
      </c>
      <c r="I112" t="s">
        <v>21</v>
      </c>
      <c r="J112" t="s">
        <v>22</v>
      </c>
      <c r="K112">
        <v>8</v>
      </c>
      <c r="L112" t="s">
        <v>23</v>
      </c>
      <c r="M112" s="2">
        <v>0.7</v>
      </c>
      <c r="N112" s="2">
        <v>0.7</v>
      </c>
    </row>
    <row r="113" spans="1:14" x14ac:dyDescent="0.2">
      <c r="A113" t="s">
        <v>14</v>
      </c>
      <c r="B113" t="s">
        <v>15</v>
      </c>
      <c r="C113" s="4">
        <v>46086</v>
      </c>
      <c r="D113">
        <v>2</v>
      </c>
      <c r="E113" t="s">
        <v>18</v>
      </c>
      <c r="F113" s="3">
        <v>0.85</v>
      </c>
      <c r="G113">
        <v>5</v>
      </c>
      <c r="H113" t="s">
        <v>20</v>
      </c>
      <c r="I113" t="s">
        <v>21</v>
      </c>
      <c r="J113" t="s">
        <v>22</v>
      </c>
      <c r="K113">
        <v>9</v>
      </c>
      <c r="L113" t="s">
        <v>25</v>
      </c>
      <c r="M113" s="2">
        <v>0.7</v>
      </c>
      <c r="N113" s="2">
        <v>0.7</v>
      </c>
    </row>
    <row r="114" spans="1:14" x14ac:dyDescent="0.2">
      <c r="A114" t="s">
        <v>14</v>
      </c>
      <c r="B114" t="s">
        <v>15</v>
      </c>
      <c r="C114" s="4">
        <v>46086</v>
      </c>
      <c r="D114">
        <v>2</v>
      </c>
      <c r="E114" t="s">
        <v>18</v>
      </c>
      <c r="F114" s="3">
        <v>0.85</v>
      </c>
      <c r="G114">
        <v>5</v>
      </c>
      <c r="H114" t="s">
        <v>20</v>
      </c>
      <c r="I114" t="s">
        <v>21</v>
      </c>
      <c r="J114" t="s">
        <v>22</v>
      </c>
      <c r="K114">
        <v>10</v>
      </c>
      <c r="L114" t="s">
        <v>25</v>
      </c>
      <c r="M114" s="2">
        <v>0.7</v>
      </c>
      <c r="N114" s="2">
        <v>0.7</v>
      </c>
    </row>
    <row r="115" spans="1:14" x14ac:dyDescent="0.2">
      <c r="A115" t="s">
        <v>14</v>
      </c>
      <c r="B115" t="s">
        <v>15</v>
      </c>
      <c r="C115" s="4">
        <v>46090</v>
      </c>
      <c r="D115">
        <v>4</v>
      </c>
      <c r="E115" t="s">
        <v>43</v>
      </c>
      <c r="F115" s="3">
        <v>0.85</v>
      </c>
      <c r="G115">
        <v>5</v>
      </c>
      <c r="H115" t="s">
        <v>20</v>
      </c>
      <c r="I115" t="s">
        <v>21</v>
      </c>
      <c r="J115" t="s">
        <v>22</v>
      </c>
      <c r="K115">
        <v>1</v>
      </c>
      <c r="L115" t="s">
        <v>25</v>
      </c>
      <c r="M115" s="2">
        <v>0.77780000000000005</v>
      </c>
      <c r="N115" s="2">
        <v>0.77780000000000005</v>
      </c>
    </row>
    <row r="116" spans="1:14" x14ac:dyDescent="0.2">
      <c r="A116" t="s">
        <v>14</v>
      </c>
      <c r="B116" t="s">
        <v>15</v>
      </c>
      <c r="C116" s="4">
        <v>46090</v>
      </c>
      <c r="D116">
        <v>4</v>
      </c>
      <c r="E116" t="s">
        <v>43</v>
      </c>
      <c r="F116" s="3">
        <v>0.85</v>
      </c>
      <c r="G116">
        <v>5</v>
      </c>
      <c r="H116" t="s">
        <v>20</v>
      </c>
      <c r="I116" t="s">
        <v>21</v>
      </c>
      <c r="J116" t="s">
        <v>22</v>
      </c>
      <c r="K116">
        <v>2</v>
      </c>
      <c r="L116" t="s">
        <v>25</v>
      </c>
      <c r="M116" s="2">
        <v>0.77780000000000005</v>
      </c>
      <c r="N116" s="2">
        <v>0.77780000000000005</v>
      </c>
    </row>
    <row r="117" spans="1:14" x14ac:dyDescent="0.2">
      <c r="A117" t="s">
        <v>14</v>
      </c>
      <c r="B117" t="s">
        <v>15</v>
      </c>
      <c r="C117" s="4">
        <v>46090</v>
      </c>
      <c r="D117">
        <v>4</v>
      </c>
      <c r="E117" t="s">
        <v>43</v>
      </c>
      <c r="F117" s="3">
        <v>0.85</v>
      </c>
      <c r="G117">
        <v>5</v>
      </c>
      <c r="H117" t="s">
        <v>20</v>
      </c>
      <c r="I117" t="s">
        <v>21</v>
      </c>
      <c r="J117" t="s">
        <v>22</v>
      </c>
      <c r="K117">
        <v>3</v>
      </c>
      <c r="L117" t="s">
        <v>23</v>
      </c>
      <c r="M117" s="2">
        <v>0.77780000000000005</v>
      </c>
      <c r="N117" s="2">
        <v>0.77780000000000005</v>
      </c>
    </row>
    <row r="118" spans="1:14" x14ac:dyDescent="0.2">
      <c r="A118" t="s">
        <v>14</v>
      </c>
      <c r="B118" t="s">
        <v>15</v>
      </c>
      <c r="C118" s="4">
        <v>46090</v>
      </c>
      <c r="D118">
        <v>4</v>
      </c>
      <c r="E118" t="s">
        <v>43</v>
      </c>
      <c r="F118" s="3">
        <v>0.85</v>
      </c>
      <c r="G118">
        <v>5</v>
      </c>
      <c r="H118" t="s">
        <v>20</v>
      </c>
      <c r="I118" t="s">
        <v>21</v>
      </c>
      <c r="J118" t="s">
        <v>22</v>
      </c>
      <c r="K118">
        <v>4</v>
      </c>
      <c r="L118" t="s">
        <v>25</v>
      </c>
      <c r="M118" s="2">
        <v>0.77780000000000005</v>
      </c>
      <c r="N118" s="2">
        <v>0.77780000000000005</v>
      </c>
    </row>
    <row r="119" spans="1:14" x14ac:dyDescent="0.2">
      <c r="A119" t="s">
        <v>14</v>
      </c>
      <c r="B119" t="s">
        <v>15</v>
      </c>
      <c r="C119" s="4">
        <v>46090</v>
      </c>
      <c r="D119">
        <v>4</v>
      </c>
      <c r="E119" t="s">
        <v>43</v>
      </c>
      <c r="F119" s="3">
        <v>0.85</v>
      </c>
      <c r="G119">
        <v>5</v>
      </c>
      <c r="H119" t="s">
        <v>20</v>
      </c>
      <c r="I119" t="s">
        <v>21</v>
      </c>
      <c r="J119" t="s">
        <v>22</v>
      </c>
      <c r="K119">
        <v>5</v>
      </c>
      <c r="L119" t="s">
        <v>25</v>
      </c>
      <c r="M119" s="2">
        <v>0.77780000000000005</v>
      </c>
      <c r="N119" s="2">
        <v>0.77780000000000005</v>
      </c>
    </row>
    <row r="120" spans="1:14" x14ac:dyDescent="0.2">
      <c r="A120" t="s">
        <v>14</v>
      </c>
      <c r="B120" t="s">
        <v>15</v>
      </c>
      <c r="C120" s="4">
        <v>46090</v>
      </c>
      <c r="D120">
        <v>4</v>
      </c>
      <c r="E120" t="s">
        <v>43</v>
      </c>
      <c r="F120" s="3">
        <v>0.85</v>
      </c>
      <c r="G120">
        <v>5</v>
      </c>
      <c r="H120" t="s">
        <v>20</v>
      </c>
      <c r="I120" t="s">
        <v>21</v>
      </c>
      <c r="J120" t="s">
        <v>22</v>
      </c>
      <c r="K120">
        <v>6</v>
      </c>
      <c r="L120" t="s">
        <v>25</v>
      </c>
      <c r="M120" s="2">
        <v>0.77780000000000005</v>
      </c>
      <c r="N120" s="2">
        <v>0.77780000000000005</v>
      </c>
    </row>
    <row r="121" spans="1:14" x14ac:dyDescent="0.2">
      <c r="A121" t="s">
        <v>14</v>
      </c>
      <c r="B121" t="s">
        <v>15</v>
      </c>
      <c r="C121" s="4">
        <v>46090</v>
      </c>
      <c r="D121">
        <v>4</v>
      </c>
      <c r="E121" t="s">
        <v>43</v>
      </c>
      <c r="F121" s="3">
        <v>0.85</v>
      </c>
      <c r="G121">
        <v>5</v>
      </c>
      <c r="H121" t="s">
        <v>20</v>
      </c>
      <c r="I121" t="s">
        <v>21</v>
      </c>
      <c r="J121" t="s">
        <v>22</v>
      </c>
      <c r="K121">
        <v>7</v>
      </c>
      <c r="L121" t="s">
        <v>23</v>
      </c>
      <c r="M121" s="2">
        <v>0.77780000000000005</v>
      </c>
      <c r="N121" s="2">
        <v>0.77780000000000005</v>
      </c>
    </row>
    <row r="122" spans="1:14" x14ac:dyDescent="0.2">
      <c r="A122" t="s">
        <v>14</v>
      </c>
      <c r="B122" t="s">
        <v>15</v>
      </c>
      <c r="C122" s="4">
        <v>46090</v>
      </c>
      <c r="D122">
        <v>4</v>
      </c>
      <c r="E122" t="s">
        <v>43</v>
      </c>
      <c r="F122" s="3">
        <v>0.85</v>
      </c>
      <c r="G122">
        <v>5</v>
      </c>
      <c r="H122" t="s">
        <v>20</v>
      </c>
      <c r="I122" t="s">
        <v>21</v>
      </c>
      <c r="J122" t="s">
        <v>22</v>
      </c>
      <c r="K122">
        <v>8</v>
      </c>
      <c r="L122" t="s">
        <v>25</v>
      </c>
      <c r="M122" s="2">
        <v>0.77780000000000005</v>
      </c>
      <c r="N122" s="2">
        <v>0.77780000000000005</v>
      </c>
    </row>
    <row r="123" spans="1:14" x14ac:dyDescent="0.2">
      <c r="A123" t="s">
        <v>14</v>
      </c>
      <c r="B123" t="s">
        <v>15</v>
      </c>
      <c r="C123" s="4">
        <v>46090</v>
      </c>
      <c r="D123">
        <v>4</v>
      </c>
      <c r="E123" t="s">
        <v>43</v>
      </c>
      <c r="F123" s="3">
        <v>0.85</v>
      </c>
      <c r="G123">
        <v>5</v>
      </c>
      <c r="H123" t="s">
        <v>20</v>
      </c>
      <c r="I123" t="s">
        <v>21</v>
      </c>
      <c r="J123" t="s">
        <v>22</v>
      </c>
      <c r="K123">
        <v>9</v>
      </c>
      <c r="L123" t="s">
        <v>25</v>
      </c>
      <c r="M123" s="2">
        <v>0.77780000000000005</v>
      </c>
      <c r="N123" s="2">
        <v>0.77780000000000005</v>
      </c>
    </row>
    <row r="124" spans="1:14" x14ac:dyDescent="0.2">
      <c r="A124" t="s">
        <v>14</v>
      </c>
      <c r="B124" t="s">
        <v>15</v>
      </c>
      <c r="C124" s="4">
        <v>46094</v>
      </c>
      <c r="D124">
        <v>4</v>
      </c>
      <c r="E124" t="s">
        <v>43</v>
      </c>
      <c r="F124" s="3">
        <v>0.85</v>
      </c>
      <c r="G124">
        <v>5</v>
      </c>
      <c r="H124" t="s">
        <v>20</v>
      </c>
      <c r="I124" t="s">
        <v>21</v>
      </c>
      <c r="J124" t="s">
        <v>22</v>
      </c>
      <c r="K124">
        <v>1</v>
      </c>
      <c r="L124" t="s">
        <v>25</v>
      </c>
      <c r="M124" s="2">
        <v>0.57140000000000002</v>
      </c>
      <c r="N124" s="2">
        <v>0.57140000000000002</v>
      </c>
    </row>
    <row r="125" spans="1:14" x14ac:dyDescent="0.2">
      <c r="A125" t="s">
        <v>14</v>
      </c>
      <c r="B125" t="s">
        <v>15</v>
      </c>
      <c r="C125" s="4">
        <v>46094</v>
      </c>
      <c r="D125">
        <v>4</v>
      </c>
      <c r="E125" t="s">
        <v>43</v>
      </c>
      <c r="F125" s="3">
        <v>0.85</v>
      </c>
      <c r="G125">
        <v>5</v>
      </c>
      <c r="H125" t="s">
        <v>20</v>
      </c>
      <c r="I125" t="s">
        <v>21</v>
      </c>
      <c r="J125" t="s">
        <v>22</v>
      </c>
      <c r="K125">
        <v>2</v>
      </c>
      <c r="L125" t="s">
        <v>23</v>
      </c>
      <c r="M125" s="2">
        <v>0.57140000000000002</v>
      </c>
      <c r="N125" s="2">
        <v>0.57140000000000002</v>
      </c>
    </row>
    <row r="126" spans="1:14" x14ac:dyDescent="0.2">
      <c r="A126" t="s">
        <v>14</v>
      </c>
      <c r="B126" t="s">
        <v>15</v>
      </c>
      <c r="C126" s="4">
        <v>46094</v>
      </c>
      <c r="D126">
        <v>4</v>
      </c>
      <c r="E126" t="s">
        <v>43</v>
      </c>
      <c r="F126" s="3">
        <v>0.85</v>
      </c>
      <c r="G126">
        <v>5</v>
      </c>
      <c r="H126" t="s">
        <v>20</v>
      </c>
      <c r="I126" t="s">
        <v>21</v>
      </c>
      <c r="J126" t="s">
        <v>22</v>
      </c>
      <c r="K126">
        <v>3</v>
      </c>
      <c r="L126" t="s">
        <v>25</v>
      </c>
      <c r="M126" s="2">
        <v>0.57140000000000002</v>
      </c>
      <c r="N126" s="2">
        <v>0.57140000000000002</v>
      </c>
    </row>
    <row r="127" spans="1:14" x14ac:dyDescent="0.2">
      <c r="A127" t="s">
        <v>14</v>
      </c>
      <c r="B127" t="s">
        <v>15</v>
      </c>
      <c r="C127" s="4">
        <v>46094</v>
      </c>
      <c r="D127">
        <v>4</v>
      </c>
      <c r="E127" t="s">
        <v>43</v>
      </c>
      <c r="F127" s="3">
        <v>0.85</v>
      </c>
      <c r="G127">
        <v>5</v>
      </c>
      <c r="H127" t="s">
        <v>20</v>
      </c>
      <c r="I127" t="s">
        <v>21</v>
      </c>
      <c r="J127" t="s">
        <v>22</v>
      </c>
      <c r="K127">
        <v>4</v>
      </c>
      <c r="L127" t="s">
        <v>23</v>
      </c>
      <c r="M127" s="2">
        <v>0.57140000000000002</v>
      </c>
      <c r="N127" s="2">
        <v>0.57140000000000002</v>
      </c>
    </row>
    <row r="128" spans="1:14" x14ac:dyDescent="0.2">
      <c r="A128" t="s">
        <v>14</v>
      </c>
      <c r="B128" t="s">
        <v>15</v>
      </c>
      <c r="C128" s="4">
        <v>46094</v>
      </c>
      <c r="D128">
        <v>4</v>
      </c>
      <c r="E128" t="s">
        <v>43</v>
      </c>
      <c r="F128" s="3">
        <v>0.85</v>
      </c>
      <c r="G128">
        <v>5</v>
      </c>
      <c r="H128" t="s">
        <v>20</v>
      </c>
      <c r="I128" t="s">
        <v>21</v>
      </c>
      <c r="J128" t="s">
        <v>22</v>
      </c>
      <c r="K128">
        <v>5</v>
      </c>
      <c r="L128" t="s">
        <v>25</v>
      </c>
      <c r="M128" s="2">
        <v>0.57140000000000002</v>
      </c>
      <c r="N128" s="2">
        <v>0.57140000000000002</v>
      </c>
    </row>
    <row r="129" spans="1:14" x14ac:dyDescent="0.2">
      <c r="A129" t="s">
        <v>14</v>
      </c>
      <c r="B129" t="s">
        <v>15</v>
      </c>
      <c r="C129" s="4">
        <v>46094</v>
      </c>
      <c r="D129">
        <v>4</v>
      </c>
      <c r="E129" t="s">
        <v>43</v>
      </c>
      <c r="F129" s="3">
        <v>0.85</v>
      </c>
      <c r="G129">
        <v>5</v>
      </c>
      <c r="H129" t="s">
        <v>20</v>
      </c>
      <c r="I129" t="s">
        <v>21</v>
      </c>
      <c r="J129" t="s">
        <v>22</v>
      </c>
      <c r="K129">
        <v>6</v>
      </c>
      <c r="L129" t="s">
        <v>25</v>
      </c>
      <c r="M129" s="2">
        <v>0.57140000000000002</v>
      </c>
      <c r="N129" s="2">
        <v>0.57140000000000002</v>
      </c>
    </row>
    <row r="130" spans="1:14" x14ac:dyDescent="0.2">
      <c r="A130" t="s">
        <v>14</v>
      </c>
      <c r="B130" t="s">
        <v>15</v>
      </c>
      <c r="C130" s="4">
        <v>46094</v>
      </c>
      <c r="D130">
        <v>4</v>
      </c>
      <c r="E130" t="s">
        <v>43</v>
      </c>
      <c r="F130" s="3">
        <v>0.85</v>
      </c>
      <c r="G130">
        <v>5</v>
      </c>
      <c r="H130" t="s">
        <v>20</v>
      </c>
      <c r="I130" t="s">
        <v>21</v>
      </c>
      <c r="J130" t="s">
        <v>22</v>
      </c>
      <c r="K130">
        <v>7</v>
      </c>
      <c r="L130" t="s">
        <v>23</v>
      </c>
      <c r="M130" s="2">
        <v>0.57140000000000002</v>
      </c>
      <c r="N130" s="2">
        <v>0.57140000000000002</v>
      </c>
    </row>
    <row r="131" spans="1:14" x14ac:dyDescent="0.2">
      <c r="A131" t="s">
        <v>14</v>
      </c>
      <c r="B131" t="s">
        <v>15</v>
      </c>
      <c r="C131" s="4">
        <v>46095</v>
      </c>
      <c r="D131">
        <v>2</v>
      </c>
      <c r="E131" t="s">
        <v>18</v>
      </c>
      <c r="F131" s="3">
        <v>0.85</v>
      </c>
      <c r="G131">
        <v>5</v>
      </c>
      <c r="H131" t="s">
        <v>20</v>
      </c>
      <c r="I131" t="s">
        <v>21</v>
      </c>
      <c r="J131" t="s">
        <v>22</v>
      </c>
      <c r="K131">
        <v>1</v>
      </c>
      <c r="L131" t="s">
        <v>25</v>
      </c>
      <c r="M131" s="2">
        <v>0.57140000000000002</v>
      </c>
      <c r="N131" s="2">
        <v>0.57140000000000002</v>
      </c>
    </row>
    <row r="132" spans="1:14" x14ac:dyDescent="0.2">
      <c r="A132" t="s">
        <v>14</v>
      </c>
      <c r="B132" t="s">
        <v>15</v>
      </c>
      <c r="C132" s="4">
        <v>46095</v>
      </c>
      <c r="D132">
        <v>2</v>
      </c>
      <c r="E132" t="s">
        <v>18</v>
      </c>
      <c r="F132" s="3">
        <v>0.85</v>
      </c>
      <c r="G132">
        <v>5</v>
      </c>
      <c r="H132" t="s">
        <v>20</v>
      </c>
      <c r="I132" t="s">
        <v>21</v>
      </c>
      <c r="J132" t="s">
        <v>22</v>
      </c>
      <c r="K132">
        <v>2</v>
      </c>
      <c r="L132" t="s">
        <v>23</v>
      </c>
      <c r="M132" s="2">
        <v>0.57140000000000002</v>
      </c>
      <c r="N132" s="2">
        <v>0.57140000000000002</v>
      </c>
    </row>
    <row r="133" spans="1:14" x14ac:dyDescent="0.2">
      <c r="A133" t="s">
        <v>14</v>
      </c>
      <c r="B133" t="s">
        <v>15</v>
      </c>
      <c r="C133" s="4">
        <v>46095</v>
      </c>
      <c r="D133">
        <v>2</v>
      </c>
      <c r="E133" t="s">
        <v>18</v>
      </c>
      <c r="F133" s="3">
        <v>0.85</v>
      </c>
      <c r="G133">
        <v>5</v>
      </c>
      <c r="H133" t="s">
        <v>20</v>
      </c>
      <c r="I133" t="s">
        <v>21</v>
      </c>
      <c r="J133" t="s">
        <v>22</v>
      </c>
      <c r="K133">
        <v>3</v>
      </c>
      <c r="L133" t="s">
        <v>23</v>
      </c>
      <c r="M133" s="2">
        <v>0.57140000000000002</v>
      </c>
      <c r="N133" s="2">
        <v>0.57140000000000002</v>
      </c>
    </row>
    <row r="134" spans="1:14" x14ac:dyDescent="0.2">
      <c r="A134" t="s">
        <v>14</v>
      </c>
      <c r="B134" t="s">
        <v>15</v>
      </c>
      <c r="C134" s="4">
        <v>46095</v>
      </c>
      <c r="D134">
        <v>2</v>
      </c>
      <c r="E134" t="s">
        <v>18</v>
      </c>
      <c r="F134" s="3">
        <v>0.85</v>
      </c>
      <c r="G134">
        <v>5</v>
      </c>
      <c r="H134" t="s">
        <v>20</v>
      </c>
      <c r="I134" t="s">
        <v>21</v>
      </c>
      <c r="J134" t="s">
        <v>22</v>
      </c>
      <c r="K134">
        <v>4</v>
      </c>
      <c r="L134" t="s">
        <v>25</v>
      </c>
      <c r="M134" s="2">
        <v>0.57140000000000002</v>
      </c>
      <c r="N134" s="2">
        <v>0.57140000000000002</v>
      </c>
    </row>
    <row r="135" spans="1:14" x14ac:dyDescent="0.2">
      <c r="A135" t="s">
        <v>14</v>
      </c>
      <c r="B135" t="s">
        <v>15</v>
      </c>
      <c r="C135" s="4">
        <v>46095</v>
      </c>
      <c r="D135">
        <v>2</v>
      </c>
      <c r="E135" t="s">
        <v>18</v>
      </c>
      <c r="F135" s="3">
        <v>0.85</v>
      </c>
      <c r="G135">
        <v>5</v>
      </c>
      <c r="H135" t="s">
        <v>20</v>
      </c>
      <c r="I135" t="s">
        <v>21</v>
      </c>
      <c r="J135" t="s">
        <v>22</v>
      </c>
      <c r="K135">
        <v>5</v>
      </c>
      <c r="L135" t="s">
        <v>25</v>
      </c>
      <c r="M135" s="2">
        <v>0.57140000000000002</v>
      </c>
      <c r="N135" s="2">
        <v>0.57140000000000002</v>
      </c>
    </row>
    <row r="136" spans="1:14" x14ac:dyDescent="0.2">
      <c r="A136" t="s">
        <v>14</v>
      </c>
      <c r="B136" t="s">
        <v>15</v>
      </c>
      <c r="C136" s="4">
        <v>46095</v>
      </c>
      <c r="D136">
        <v>2</v>
      </c>
      <c r="E136" t="s">
        <v>18</v>
      </c>
      <c r="F136" s="3">
        <v>0.85</v>
      </c>
      <c r="G136">
        <v>5</v>
      </c>
      <c r="H136" t="s">
        <v>20</v>
      </c>
      <c r="I136" t="s">
        <v>21</v>
      </c>
      <c r="J136" t="s">
        <v>22</v>
      </c>
      <c r="K136">
        <v>6</v>
      </c>
      <c r="L136" t="s">
        <v>25</v>
      </c>
      <c r="M136" s="2">
        <v>0.57140000000000002</v>
      </c>
      <c r="N136" s="2">
        <v>0.57140000000000002</v>
      </c>
    </row>
    <row r="137" spans="1:14" x14ac:dyDescent="0.2">
      <c r="A137" t="s">
        <v>14</v>
      </c>
      <c r="B137" t="s">
        <v>15</v>
      </c>
      <c r="C137" s="4">
        <v>46095</v>
      </c>
      <c r="D137">
        <v>2</v>
      </c>
      <c r="E137" t="s">
        <v>18</v>
      </c>
      <c r="F137" s="3">
        <v>0.85</v>
      </c>
      <c r="G137">
        <v>5</v>
      </c>
      <c r="H137" t="s">
        <v>20</v>
      </c>
      <c r="I137" t="s">
        <v>21</v>
      </c>
      <c r="J137" t="s">
        <v>22</v>
      </c>
      <c r="K137">
        <v>7</v>
      </c>
      <c r="L137" t="s">
        <v>23</v>
      </c>
      <c r="M137" s="2">
        <v>0.57140000000000002</v>
      </c>
      <c r="N137" s="2">
        <v>0.57140000000000002</v>
      </c>
    </row>
    <row r="138" spans="1:14" x14ac:dyDescent="0.2">
      <c r="A138" t="s">
        <v>14</v>
      </c>
      <c r="B138" t="s">
        <v>15</v>
      </c>
      <c r="C138" s="4">
        <v>46099</v>
      </c>
      <c r="D138">
        <v>4</v>
      </c>
      <c r="E138" t="s">
        <v>43</v>
      </c>
      <c r="F138" s="3">
        <v>0.85</v>
      </c>
      <c r="G138">
        <v>5</v>
      </c>
      <c r="H138" t="s">
        <v>20</v>
      </c>
      <c r="I138" t="s">
        <v>21</v>
      </c>
      <c r="J138" t="s">
        <v>22</v>
      </c>
      <c r="K138">
        <v>1</v>
      </c>
      <c r="L138" t="s">
        <v>23</v>
      </c>
      <c r="M138" s="2">
        <v>0.81820000000000004</v>
      </c>
      <c r="N138" s="2">
        <v>0.81820000000000004</v>
      </c>
    </row>
    <row r="139" spans="1:14" x14ac:dyDescent="0.2">
      <c r="A139" t="s">
        <v>14</v>
      </c>
      <c r="B139" t="s">
        <v>15</v>
      </c>
      <c r="C139" s="4">
        <v>46099</v>
      </c>
      <c r="D139">
        <v>4</v>
      </c>
      <c r="E139" t="s">
        <v>43</v>
      </c>
      <c r="F139" s="3">
        <v>0.85</v>
      </c>
      <c r="G139">
        <v>5</v>
      </c>
      <c r="H139" t="s">
        <v>20</v>
      </c>
      <c r="I139" t="s">
        <v>21</v>
      </c>
      <c r="J139" t="s">
        <v>22</v>
      </c>
      <c r="K139">
        <v>2</v>
      </c>
      <c r="L139" t="s">
        <v>25</v>
      </c>
      <c r="M139" s="2">
        <v>0.81820000000000004</v>
      </c>
      <c r="N139" s="2">
        <v>0.81820000000000004</v>
      </c>
    </row>
    <row r="140" spans="1:14" x14ac:dyDescent="0.2">
      <c r="A140" t="s">
        <v>14</v>
      </c>
      <c r="B140" t="s">
        <v>15</v>
      </c>
      <c r="C140" s="4">
        <v>46099</v>
      </c>
      <c r="D140">
        <v>4</v>
      </c>
      <c r="E140" t="s">
        <v>43</v>
      </c>
      <c r="F140" s="3">
        <v>0.85</v>
      </c>
      <c r="G140">
        <v>5</v>
      </c>
      <c r="H140" t="s">
        <v>20</v>
      </c>
      <c r="I140" t="s">
        <v>21</v>
      </c>
      <c r="J140" t="s">
        <v>22</v>
      </c>
      <c r="K140">
        <v>3</v>
      </c>
      <c r="L140" t="s">
        <v>25</v>
      </c>
      <c r="M140" s="2">
        <v>0.81820000000000004</v>
      </c>
      <c r="N140" s="2">
        <v>0.81820000000000004</v>
      </c>
    </row>
    <row r="141" spans="1:14" x14ac:dyDescent="0.2">
      <c r="A141" t="s">
        <v>14</v>
      </c>
      <c r="B141" t="s">
        <v>15</v>
      </c>
      <c r="C141" s="4">
        <v>46099</v>
      </c>
      <c r="D141">
        <v>4</v>
      </c>
      <c r="E141" t="s">
        <v>43</v>
      </c>
      <c r="F141" s="3">
        <v>0.85</v>
      </c>
      <c r="G141">
        <v>5</v>
      </c>
      <c r="H141" t="s">
        <v>20</v>
      </c>
      <c r="I141" t="s">
        <v>21</v>
      </c>
      <c r="J141" t="s">
        <v>22</v>
      </c>
      <c r="K141">
        <v>4</v>
      </c>
      <c r="L141" t="s">
        <v>25</v>
      </c>
      <c r="M141" s="2">
        <v>0.81820000000000004</v>
      </c>
      <c r="N141" s="2">
        <v>0.81820000000000004</v>
      </c>
    </row>
    <row r="142" spans="1:14" x14ac:dyDescent="0.2">
      <c r="A142" t="s">
        <v>14</v>
      </c>
      <c r="B142" t="s">
        <v>15</v>
      </c>
      <c r="C142" s="4">
        <v>46099</v>
      </c>
      <c r="D142">
        <v>4</v>
      </c>
      <c r="E142" t="s">
        <v>43</v>
      </c>
      <c r="F142" s="3">
        <v>0.85</v>
      </c>
      <c r="G142">
        <v>5</v>
      </c>
      <c r="H142" t="s">
        <v>20</v>
      </c>
      <c r="I142" t="s">
        <v>21</v>
      </c>
      <c r="J142" t="s">
        <v>22</v>
      </c>
      <c r="K142">
        <v>5</v>
      </c>
      <c r="L142" t="s">
        <v>25</v>
      </c>
      <c r="M142" s="2">
        <v>0.81820000000000004</v>
      </c>
      <c r="N142" s="2">
        <v>0.81820000000000004</v>
      </c>
    </row>
    <row r="143" spans="1:14" x14ac:dyDescent="0.2">
      <c r="A143" t="s">
        <v>14</v>
      </c>
      <c r="B143" t="s">
        <v>15</v>
      </c>
      <c r="C143" s="4">
        <v>46099</v>
      </c>
      <c r="D143">
        <v>4</v>
      </c>
      <c r="E143" t="s">
        <v>43</v>
      </c>
      <c r="F143" s="3">
        <v>0.85</v>
      </c>
      <c r="G143">
        <v>5</v>
      </c>
      <c r="H143" t="s">
        <v>20</v>
      </c>
      <c r="I143" t="s">
        <v>21</v>
      </c>
      <c r="J143" t="s">
        <v>22</v>
      </c>
      <c r="K143">
        <v>6</v>
      </c>
      <c r="L143" t="s">
        <v>23</v>
      </c>
      <c r="M143" s="2">
        <v>0.81820000000000004</v>
      </c>
      <c r="N143" s="2">
        <v>0.81820000000000004</v>
      </c>
    </row>
    <row r="144" spans="1:14" x14ac:dyDescent="0.2">
      <c r="A144" t="s">
        <v>14</v>
      </c>
      <c r="B144" t="s">
        <v>15</v>
      </c>
      <c r="C144" s="4">
        <v>46099</v>
      </c>
      <c r="D144">
        <v>4</v>
      </c>
      <c r="E144" t="s">
        <v>43</v>
      </c>
      <c r="F144" s="3">
        <v>0.85</v>
      </c>
      <c r="G144">
        <v>5</v>
      </c>
      <c r="H144" t="s">
        <v>20</v>
      </c>
      <c r="I144" t="s">
        <v>21</v>
      </c>
      <c r="J144" t="s">
        <v>22</v>
      </c>
      <c r="K144">
        <v>7</v>
      </c>
      <c r="L144" t="s">
        <v>25</v>
      </c>
      <c r="M144" s="2">
        <v>0.81820000000000004</v>
      </c>
      <c r="N144" s="2">
        <v>0.81820000000000004</v>
      </c>
    </row>
    <row r="145" spans="1:14" x14ac:dyDescent="0.2">
      <c r="A145" t="s">
        <v>14</v>
      </c>
      <c r="B145" t="s">
        <v>15</v>
      </c>
      <c r="C145" s="4">
        <v>46099</v>
      </c>
      <c r="D145">
        <v>4</v>
      </c>
      <c r="E145" t="s">
        <v>43</v>
      </c>
      <c r="F145" s="3">
        <v>0.85</v>
      </c>
      <c r="G145">
        <v>5</v>
      </c>
      <c r="H145" t="s">
        <v>20</v>
      </c>
      <c r="I145" t="s">
        <v>21</v>
      </c>
      <c r="J145" t="s">
        <v>22</v>
      </c>
      <c r="K145">
        <v>8</v>
      </c>
      <c r="L145" t="s">
        <v>25</v>
      </c>
      <c r="M145" s="2">
        <v>0.81820000000000004</v>
      </c>
      <c r="N145" s="2">
        <v>0.81820000000000004</v>
      </c>
    </row>
    <row r="146" spans="1:14" x14ac:dyDescent="0.2">
      <c r="A146" t="s">
        <v>14</v>
      </c>
      <c r="B146" t="s">
        <v>15</v>
      </c>
      <c r="C146" s="4">
        <v>46099</v>
      </c>
      <c r="D146">
        <v>4</v>
      </c>
      <c r="E146" t="s">
        <v>43</v>
      </c>
      <c r="F146" s="3">
        <v>0.85</v>
      </c>
      <c r="G146">
        <v>5</v>
      </c>
      <c r="H146" t="s">
        <v>20</v>
      </c>
      <c r="I146" t="s">
        <v>21</v>
      </c>
      <c r="J146" t="s">
        <v>22</v>
      </c>
      <c r="K146">
        <v>9</v>
      </c>
      <c r="L146" t="s">
        <v>25</v>
      </c>
      <c r="M146" s="2">
        <v>0.81820000000000004</v>
      </c>
      <c r="N146" s="2">
        <v>0.81820000000000004</v>
      </c>
    </row>
    <row r="147" spans="1:14" x14ac:dyDescent="0.2">
      <c r="A147" t="s">
        <v>14</v>
      </c>
      <c r="B147" t="s">
        <v>15</v>
      </c>
      <c r="C147" s="4">
        <v>46099</v>
      </c>
      <c r="D147">
        <v>4</v>
      </c>
      <c r="E147" t="s">
        <v>43</v>
      </c>
      <c r="F147" s="3">
        <v>0.85</v>
      </c>
      <c r="G147">
        <v>5</v>
      </c>
      <c r="H147" t="s">
        <v>20</v>
      </c>
      <c r="I147" t="s">
        <v>21</v>
      </c>
      <c r="J147" t="s">
        <v>22</v>
      </c>
      <c r="K147">
        <v>10</v>
      </c>
      <c r="L147" t="s">
        <v>25</v>
      </c>
      <c r="M147" s="2">
        <v>0.81820000000000004</v>
      </c>
      <c r="N147" s="2">
        <v>0.81820000000000004</v>
      </c>
    </row>
    <row r="148" spans="1:14" x14ac:dyDescent="0.2">
      <c r="A148" t="s">
        <v>14</v>
      </c>
      <c r="B148" t="s">
        <v>15</v>
      </c>
      <c r="C148" s="4">
        <v>46099</v>
      </c>
      <c r="D148">
        <v>4</v>
      </c>
      <c r="E148" t="s">
        <v>43</v>
      </c>
      <c r="F148" s="3">
        <v>0.85</v>
      </c>
      <c r="G148">
        <v>5</v>
      </c>
      <c r="H148" t="s">
        <v>20</v>
      </c>
      <c r="I148" t="s">
        <v>21</v>
      </c>
      <c r="J148" t="s">
        <v>22</v>
      </c>
      <c r="K148">
        <v>11</v>
      </c>
      <c r="L148" t="s">
        <v>25</v>
      </c>
      <c r="M148" s="2">
        <v>0.81820000000000004</v>
      </c>
      <c r="N148" s="2">
        <v>0.81820000000000004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E95F8-1296-7541-8DA1-A731818978BE}">
  <dimension ref="E2:J26"/>
  <sheetViews>
    <sheetView workbookViewId="0">
      <selection activeCell="J13" sqref="J13"/>
    </sheetView>
  </sheetViews>
  <sheetFormatPr baseColWidth="10" defaultRowHeight="15" x14ac:dyDescent="0.2"/>
  <cols>
    <col min="1" max="1" width="12.1640625" bestFit="1" customWidth="1"/>
    <col min="2" max="2" width="11.5" bestFit="1" customWidth="1"/>
    <col min="3" max="3" width="12.6640625" bestFit="1" customWidth="1"/>
    <col min="6" max="6" width="10" bestFit="1" customWidth="1"/>
    <col min="8" max="8" width="12.6640625" bestFit="1" customWidth="1"/>
  </cols>
  <sheetData>
    <row r="2" spans="5:10" x14ac:dyDescent="0.2">
      <c r="E2" s="10"/>
      <c r="F2" s="10"/>
      <c r="G2" s="10"/>
      <c r="H2" s="10"/>
      <c r="I2" s="10"/>
      <c r="J2" s="10"/>
    </row>
    <row r="3" spans="5:10" x14ac:dyDescent="0.2">
      <c r="E3" s="10"/>
      <c r="F3" s="24" t="s">
        <v>73</v>
      </c>
      <c r="G3" s="24"/>
      <c r="H3" s="24"/>
      <c r="I3" s="10"/>
      <c r="J3" s="10"/>
    </row>
    <row r="4" spans="5:10" x14ac:dyDescent="0.2">
      <c r="E4" s="10"/>
      <c r="F4" s="11" t="s">
        <v>74</v>
      </c>
      <c r="G4" s="10" t="s">
        <v>71</v>
      </c>
      <c r="H4" s="10" t="s">
        <v>72</v>
      </c>
      <c r="I4" s="10"/>
      <c r="J4" s="10"/>
    </row>
    <row r="5" spans="5:10" x14ac:dyDescent="0.2">
      <c r="E5" s="10"/>
      <c r="F5" s="21">
        <v>46056</v>
      </c>
      <c r="G5" s="25">
        <v>7</v>
      </c>
      <c r="H5" s="25">
        <v>7</v>
      </c>
      <c r="I5" s="10"/>
      <c r="J5" s="10"/>
    </row>
    <row r="6" spans="5:10" x14ac:dyDescent="0.2">
      <c r="E6" s="10"/>
      <c r="F6" s="21">
        <v>46057</v>
      </c>
      <c r="G6" s="25">
        <v>9</v>
      </c>
      <c r="H6" s="25">
        <v>9</v>
      </c>
      <c r="I6" s="10"/>
      <c r="J6" s="10"/>
    </row>
    <row r="7" spans="5:10" x14ac:dyDescent="0.2">
      <c r="E7" s="10"/>
      <c r="F7" s="21">
        <v>46058</v>
      </c>
      <c r="G7" s="25">
        <v>8</v>
      </c>
      <c r="H7" s="25">
        <v>8</v>
      </c>
      <c r="I7" s="10"/>
      <c r="J7" s="10"/>
    </row>
    <row r="8" spans="5:10" x14ac:dyDescent="0.2">
      <c r="E8" s="10"/>
      <c r="F8" s="21">
        <v>46061</v>
      </c>
      <c r="G8" s="25">
        <v>6</v>
      </c>
      <c r="H8" s="25">
        <v>6</v>
      </c>
      <c r="I8" s="10"/>
      <c r="J8" s="10"/>
    </row>
    <row r="9" spans="5:10" x14ac:dyDescent="0.2">
      <c r="E9" s="10"/>
      <c r="F9" s="21">
        <v>46062</v>
      </c>
      <c r="G9" s="25">
        <v>8</v>
      </c>
      <c r="H9" s="25">
        <v>8</v>
      </c>
      <c r="I9" s="10"/>
      <c r="J9" s="10"/>
    </row>
    <row r="10" spans="5:10" x14ac:dyDescent="0.2">
      <c r="E10" s="10"/>
      <c r="F10" s="21">
        <v>46065</v>
      </c>
      <c r="G10" s="25">
        <v>7</v>
      </c>
      <c r="H10" s="25">
        <v>7</v>
      </c>
      <c r="I10" s="10"/>
      <c r="J10" s="10"/>
    </row>
    <row r="11" spans="5:10" x14ac:dyDescent="0.2">
      <c r="E11" s="10"/>
      <c r="F11" s="21">
        <v>46069</v>
      </c>
      <c r="G11" s="25">
        <v>7</v>
      </c>
      <c r="H11" s="25">
        <v>7</v>
      </c>
      <c r="I11" s="10"/>
      <c r="J11" s="10"/>
    </row>
    <row r="12" spans="5:10" x14ac:dyDescent="0.2">
      <c r="E12" s="10"/>
      <c r="F12" s="21">
        <v>46070</v>
      </c>
      <c r="G12" s="25">
        <v>12</v>
      </c>
      <c r="H12" s="25">
        <v>12</v>
      </c>
      <c r="I12" s="10"/>
      <c r="J12" s="10"/>
    </row>
    <row r="13" spans="5:10" x14ac:dyDescent="0.2">
      <c r="E13" s="10"/>
      <c r="F13" s="21">
        <v>46073</v>
      </c>
      <c r="G13" s="25">
        <v>8</v>
      </c>
      <c r="H13" s="25">
        <v>8</v>
      </c>
      <c r="I13" s="10"/>
      <c r="J13" s="10"/>
    </row>
    <row r="14" spans="5:10" x14ac:dyDescent="0.2">
      <c r="E14" s="10"/>
      <c r="F14" s="21">
        <v>46077</v>
      </c>
      <c r="G14" s="25">
        <v>8</v>
      </c>
      <c r="H14" s="25">
        <v>8</v>
      </c>
      <c r="I14" s="10"/>
      <c r="J14" s="10"/>
    </row>
    <row r="15" spans="5:10" x14ac:dyDescent="0.2">
      <c r="E15" s="10"/>
      <c r="F15" s="21">
        <v>46078</v>
      </c>
      <c r="G15" s="25">
        <v>7</v>
      </c>
      <c r="H15" s="25">
        <v>7</v>
      </c>
      <c r="I15" s="10"/>
      <c r="J15" s="10"/>
    </row>
    <row r="16" spans="5:10" x14ac:dyDescent="0.2">
      <c r="E16" s="10"/>
      <c r="F16" s="21">
        <v>46081</v>
      </c>
      <c r="G16" s="25">
        <v>10</v>
      </c>
      <c r="H16" s="25">
        <v>10</v>
      </c>
      <c r="I16" s="10"/>
      <c r="J16" s="10"/>
    </row>
    <row r="17" spans="5:10" x14ac:dyDescent="0.2">
      <c r="E17" s="10"/>
      <c r="F17" s="21">
        <v>46085</v>
      </c>
      <c r="G17" s="25">
        <v>6</v>
      </c>
      <c r="H17" s="25">
        <v>6</v>
      </c>
      <c r="I17" s="10"/>
      <c r="J17" s="10"/>
    </row>
    <row r="18" spans="5:10" x14ac:dyDescent="0.2">
      <c r="E18" s="10"/>
      <c r="F18" s="21">
        <v>46086</v>
      </c>
      <c r="G18" s="25">
        <v>10</v>
      </c>
      <c r="H18" s="25">
        <v>10</v>
      </c>
      <c r="I18" s="10"/>
      <c r="J18" s="10"/>
    </row>
    <row r="19" spans="5:10" x14ac:dyDescent="0.2">
      <c r="E19" s="10"/>
      <c r="F19" s="21">
        <v>46090</v>
      </c>
      <c r="G19" s="25">
        <v>9</v>
      </c>
      <c r="H19" s="25">
        <v>9</v>
      </c>
      <c r="I19" s="10"/>
      <c r="J19" s="10"/>
    </row>
    <row r="20" spans="5:10" x14ac:dyDescent="0.2">
      <c r="E20" s="10"/>
      <c r="F20" s="21">
        <v>46094</v>
      </c>
      <c r="G20" s="25">
        <v>7</v>
      </c>
      <c r="H20" s="25">
        <v>7</v>
      </c>
      <c r="I20" s="10"/>
      <c r="J20" s="10"/>
    </row>
    <row r="21" spans="5:10" x14ac:dyDescent="0.2">
      <c r="E21" s="10"/>
      <c r="F21" s="21">
        <v>46095</v>
      </c>
      <c r="G21" s="25">
        <v>7</v>
      </c>
      <c r="H21" s="25">
        <v>7</v>
      </c>
      <c r="I21" s="10"/>
      <c r="J21" s="10"/>
    </row>
    <row r="22" spans="5:10" x14ac:dyDescent="0.2">
      <c r="E22" s="10"/>
      <c r="F22" s="21">
        <v>46099</v>
      </c>
      <c r="G22" s="25">
        <v>11</v>
      </c>
      <c r="H22" s="25">
        <v>11</v>
      </c>
      <c r="I22" s="10"/>
      <c r="J22" s="10"/>
    </row>
    <row r="23" spans="5:10" x14ac:dyDescent="0.2">
      <c r="E23" s="10"/>
      <c r="F23" s="21" t="s">
        <v>67</v>
      </c>
      <c r="G23" s="25">
        <v>147</v>
      </c>
      <c r="H23" s="25">
        <v>147</v>
      </c>
      <c r="I23" s="10"/>
      <c r="J23" s="10"/>
    </row>
    <row r="24" spans="5:10" x14ac:dyDescent="0.2">
      <c r="E24" s="10"/>
      <c r="F24" s="10"/>
      <c r="G24" s="10"/>
      <c r="H24" s="10"/>
      <c r="I24" s="10"/>
      <c r="J24" s="10"/>
    </row>
    <row r="25" spans="5:10" x14ac:dyDescent="0.2">
      <c r="E25" s="10"/>
      <c r="F25" s="10"/>
      <c r="G25" s="10"/>
      <c r="H25" s="10"/>
      <c r="I25" s="10"/>
      <c r="J25" s="10"/>
    </row>
    <row r="26" spans="5:10" x14ac:dyDescent="0.2">
      <c r="E26" s="10"/>
      <c r="F26" s="10"/>
      <c r="G26" s="10"/>
      <c r="H26" s="10"/>
      <c r="I26" s="10"/>
      <c r="J26" s="10"/>
    </row>
  </sheetData>
  <mergeCells count="1">
    <mergeCell ref="F3:H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504C-8C5E-9E4C-9CB8-E8339A61E3E3}">
  <dimension ref="F4:I11"/>
  <sheetViews>
    <sheetView workbookViewId="0">
      <selection activeCell="G6" sqref="G6"/>
    </sheetView>
  </sheetViews>
  <sheetFormatPr baseColWidth="10" defaultRowHeight="15" x14ac:dyDescent="0.2"/>
  <cols>
    <col min="1" max="1" width="10" bestFit="1" customWidth="1"/>
    <col min="2" max="2" width="15.33203125" bestFit="1" customWidth="1"/>
    <col min="7" max="7" width="12.83203125" bestFit="1" customWidth="1"/>
    <col min="8" max="8" width="18.83203125" bestFit="1" customWidth="1"/>
    <col min="9" max="11" width="7" bestFit="1" customWidth="1"/>
    <col min="12" max="12" width="12.33203125" bestFit="1" customWidth="1"/>
  </cols>
  <sheetData>
    <row r="4" spans="6:9" x14ac:dyDescent="0.2">
      <c r="G4" s="10"/>
      <c r="H4" s="10"/>
    </row>
    <row r="5" spans="6:9" ht="19" x14ac:dyDescent="0.25">
      <c r="F5" s="15"/>
      <c r="G5" s="18" t="s">
        <v>68</v>
      </c>
      <c r="H5" s="19" t="s">
        <v>69</v>
      </c>
    </row>
    <row r="6" spans="6:9" ht="19" x14ac:dyDescent="0.25">
      <c r="F6" s="15"/>
      <c r="G6" s="19" t="s">
        <v>18</v>
      </c>
      <c r="H6" s="20">
        <v>0.72341063829787211</v>
      </c>
    </row>
    <row r="7" spans="6:9" ht="19" x14ac:dyDescent="0.25">
      <c r="F7" s="15"/>
      <c r="G7" s="19" t="s">
        <v>40</v>
      </c>
      <c r="H7" s="20">
        <v>0.63156315789473683</v>
      </c>
    </row>
    <row r="8" spans="6:9" ht="19" x14ac:dyDescent="0.25">
      <c r="F8" s="15"/>
      <c r="G8" s="19" t="s">
        <v>33</v>
      </c>
      <c r="H8" s="20">
        <v>0.51350270270270282</v>
      </c>
      <c r="I8" s="15"/>
    </row>
    <row r="9" spans="6:9" ht="19" x14ac:dyDescent="0.25">
      <c r="F9" s="15"/>
      <c r="G9" s="19" t="s">
        <v>43</v>
      </c>
      <c r="H9" s="20">
        <v>0.7954522727272727</v>
      </c>
      <c r="I9" s="15"/>
    </row>
    <row r="10" spans="6:9" ht="19" x14ac:dyDescent="0.25">
      <c r="F10" s="15"/>
      <c r="G10" s="19" t="s">
        <v>67</v>
      </c>
      <c r="H10" s="20">
        <v>0.68026870748299384</v>
      </c>
      <c r="I10" s="15"/>
    </row>
    <row r="11" spans="6:9" ht="19" x14ac:dyDescent="0.25">
      <c r="F11" s="15"/>
      <c r="G11" s="15"/>
      <c r="H11" s="15"/>
      <c r="I11" s="15"/>
    </row>
  </sheetData>
  <conditionalFormatting pivot="1" sqref="H6: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2D1CE-5C5E-3140-AD13-5133CCD9F717}">
  <dimension ref="A3:B25"/>
  <sheetViews>
    <sheetView workbookViewId="0">
      <selection activeCell="M22" sqref="M22"/>
    </sheetView>
  </sheetViews>
  <sheetFormatPr baseColWidth="10" defaultRowHeight="15" x14ac:dyDescent="0.2"/>
  <cols>
    <col min="1" max="1" width="18.1640625" bestFit="1" customWidth="1"/>
    <col min="2" max="2" width="18.83203125" bestFit="1" customWidth="1"/>
    <col min="3" max="3" width="26.83203125" bestFit="1" customWidth="1"/>
  </cols>
  <sheetData>
    <row r="3" spans="1:2" s="15" customFormat="1" ht="19" x14ac:dyDescent="0.25">
      <c r="A3" s="16" t="s">
        <v>70</v>
      </c>
      <c r="B3" s="15" t="s">
        <v>69</v>
      </c>
    </row>
    <row r="4" spans="1:2" ht="19" x14ac:dyDescent="0.25">
      <c r="A4" s="13">
        <v>1</v>
      </c>
      <c r="B4" s="14">
        <v>0.64284999999999992</v>
      </c>
    </row>
    <row r="5" spans="1:2" ht="19" x14ac:dyDescent="0.25">
      <c r="A5" s="13">
        <v>2</v>
      </c>
      <c r="B5" s="14">
        <v>0.64614153846153843</v>
      </c>
    </row>
    <row r="6" spans="1:2" ht="19" x14ac:dyDescent="0.25">
      <c r="A6" s="13">
        <v>3</v>
      </c>
      <c r="B6" s="14">
        <v>0.72000399999999998</v>
      </c>
    </row>
    <row r="7" spans="1:2" ht="19" x14ac:dyDescent="0.25">
      <c r="A7" s="13">
        <v>4</v>
      </c>
      <c r="B7" s="14">
        <v>0.76470294117647086</v>
      </c>
    </row>
    <row r="8" spans="1:2" ht="19" x14ac:dyDescent="0.25">
      <c r="A8" s="13">
        <v>5</v>
      </c>
      <c r="B8" s="14">
        <v>0.55559999999999998</v>
      </c>
    </row>
    <row r="9" spans="1:2" ht="19" x14ac:dyDescent="0.25">
      <c r="A9" s="13" t="s">
        <v>67</v>
      </c>
      <c r="B9" s="14">
        <v>0.68026870748299373</v>
      </c>
    </row>
    <row r="10" spans="1:2" ht="19" x14ac:dyDescent="0.25"/>
    <row r="11" spans="1:2" ht="19" x14ac:dyDescent="0.25"/>
    <row r="12" spans="1:2" ht="19" x14ac:dyDescent="0.25"/>
    <row r="13" spans="1:2" ht="19" x14ac:dyDescent="0.25"/>
    <row r="14" spans="1:2" ht="19" x14ac:dyDescent="0.25"/>
    <row r="15" spans="1:2" ht="19" x14ac:dyDescent="0.25"/>
    <row r="16" spans="1:2" s="15" customFormat="1" ht="19" x14ac:dyDescent="0.25">
      <c r="A16"/>
      <c r="B16"/>
    </row>
    <row r="17" spans="1:2" ht="19" x14ac:dyDescent="0.25"/>
    <row r="18" spans="1:2" ht="19" x14ac:dyDescent="0.25"/>
    <row r="25" spans="1:2" s="15" customFormat="1" ht="19" x14ac:dyDescent="0.25">
      <c r="A25"/>
      <c r="B25"/>
    </row>
  </sheetData>
  <conditionalFormatting pivot="1" sqref="B4:B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3113-819E-6F4A-8A63-10F609800A47}">
  <dimension ref="E3:M33"/>
  <sheetViews>
    <sheetView topLeftCell="E3" workbookViewId="0">
      <selection activeCell="J7" sqref="J7:M29"/>
    </sheetView>
  </sheetViews>
  <sheetFormatPr baseColWidth="10" defaultRowHeight="15" x14ac:dyDescent="0.2"/>
  <cols>
    <col min="5" max="5" width="11.83203125" customWidth="1"/>
    <col min="6" max="6" width="27.5" customWidth="1"/>
    <col min="7" max="7" width="20.83203125" bestFit="1" customWidth="1"/>
    <col min="8" max="8" width="12.6640625" customWidth="1"/>
    <col min="10" max="10" width="11.83203125" customWidth="1"/>
    <col min="11" max="11" width="23.33203125" bestFit="1" customWidth="1"/>
    <col min="12" max="12" width="20.5" customWidth="1"/>
    <col min="13" max="13" width="12.6640625" customWidth="1"/>
  </cols>
  <sheetData>
    <row r="3" spans="5:13" x14ac:dyDescent="0.2">
      <c r="E3" s="10"/>
      <c r="F3" s="10"/>
      <c r="G3" s="10"/>
      <c r="H3" s="10"/>
      <c r="I3" s="10"/>
      <c r="J3" s="10"/>
    </row>
    <row r="4" spans="5:13" x14ac:dyDescent="0.2">
      <c r="E4" s="10"/>
      <c r="F4" s="10"/>
      <c r="G4" s="10"/>
      <c r="H4" s="10"/>
      <c r="I4" s="10"/>
      <c r="J4" s="10"/>
    </row>
    <row r="5" spans="5:13" x14ac:dyDescent="0.2">
      <c r="E5" s="10"/>
      <c r="F5" s="10"/>
      <c r="G5" s="10"/>
      <c r="H5" s="10"/>
      <c r="I5" s="10"/>
      <c r="J5" s="10"/>
    </row>
    <row r="6" spans="5:13" x14ac:dyDescent="0.2">
      <c r="E6" s="10"/>
      <c r="F6" s="10"/>
      <c r="G6" s="10"/>
      <c r="H6" s="10"/>
      <c r="I6" s="10"/>
      <c r="J6" s="10"/>
    </row>
    <row r="7" spans="5:13" x14ac:dyDescent="0.2">
      <c r="E7" s="10" t="s">
        <v>77</v>
      </c>
      <c r="F7" s="10" t="s">
        <v>69</v>
      </c>
      <c r="G7" s="10" t="s">
        <v>76</v>
      </c>
      <c r="H7" s="10" t="s">
        <v>75</v>
      </c>
      <c r="I7" s="10"/>
      <c r="J7" s="10" t="s">
        <v>85</v>
      </c>
      <c r="K7" s="7" t="s">
        <v>69</v>
      </c>
      <c r="L7" s="32" t="s">
        <v>76</v>
      </c>
      <c r="M7" s="33" t="s">
        <v>75</v>
      </c>
    </row>
    <row r="8" spans="5:13" x14ac:dyDescent="0.2">
      <c r="E8" s="21">
        <v>46056</v>
      </c>
      <c r="F8" s="22">
        <v>0.71429999999999993</v>
      </c>
      <c r="G8" s="10"/>
      <c r="H8" s="10"/>
      <c r="I8" s="10"/>
      <c r="J8" s="35" t="s">
        <v>18</v>
      </c>
      <c r="K8" s="12">
        <v>0.72341063829787211</v>
      </c>
      <c r="L8" s="10"/>
      <c r="M8" s="10"/>
    </row>
    <row r="9" spans="5:13" x14ac:dyDescent="0.2">
      <c r="E9" s="21">
        <v>46057</v>
      </c>
      <c r="F9" s="22">
        <v>0.55559999999999998</v>
      </c>
      <c r="G9" s="10">
        <f>E9-E8</f>
        <v>1</v>
      </c>
      <c r="H9" s="23" t="str">
        <f>IF(G9&lt;=2,"Consistent","Inconsistent")</f>
        <v>Consistent</v>
      </c>
      <c r="I9" s="10"/>
      <c r="J9" s="21">
        <v>46056</v>
      </c>
      <c r="K9" s="12">
        <v>0.71429999999999993</v>
      </c>
      <c r="L9" s="10"/>
      <c r="M9" s="10"/>
    </row>
    <row r="10" spans="5:13" x14ac:dyDescent="0.2">
      <c r="E10" s="21">
        <v>46058</v>
      </c>
      <c r="F10" s="22">
        <v>0.875</v>
      </c>
      <c r="G10" s="10">
        <f t="shared" ref="G10:G25" si="0">E10-E9</f>
        <v>1</v>
      </c>
      <c r="H10" s="23" t="str">
        <f>IF(G10&lt;=2,"Consistent","Inconsistent")</f>
        <v>Consistent</v>
      </c>
      <c r="I10" s="10"/>
      <c r="J10" s="21">
        <v>46057</v>
      </c>
      <c r="K10" s="12">
        <v>0.55559999999999998</v>
      </c>
      <c r="L10" s="10">
        <f>J10-J9</f>
        <v>1</v>
      </c>
      <c r="M10" s="10" t="str">
        <f>IF(L10&lt;=2, "Consistent","Inconsistent")</f>
        <v>Consistent</v>
      </c>
    </row>
    <row r="11" spans="5:13" x14ac:dyDescent="0.2">
      <c r="E11" s="21">
        <v>46061</v>
      </c>
      <c r="F11" s="22">
        <v>0.33329999999999999</v>
      </c>
      <c r="G11" s="10">
        <f t="shared" si="0"/>
        <v>3</v>
      </c>
      <c r="H11" s="23" t="str">
        <f>IF(G11&lt;=2,"Consistent","Inconsistent")</f>
        <v>Inconsistent</v>
      </c>
      <c r="I11" s="10"/>
      <c r="J11" s="21">
        <v>46058</v>
      </c>
      <c r="K11" s="12">
        <v>0.875</v>
      </c>
      <c r="L11" s="10">
        <f t="shared" ref="L11:L14" si="1">J11-J10</f>
        <v>1</v>
      </c>
      <c r="M11" s="10" t="str">
        <f t="shared" ref="M11:M14" si="2">IF(L11&lt;=2, "Consistent","Inconsistent")</f>
        <v>Consistent</v>
      </c>
    </row>
    <row r="12" spans="5:13" x14ac:dyDescent="0.2">
      <c r="E12" s="21">
        <v>46062</v>
      </c>
      <c r="F12" s="22">
        <v>0.5</v>
      </c>
      <c r="G12" s="10">
        <f t="shared" si="0"/>
        <v>1</v>
      </c>
      <c r="H12" s="23" t="str">
        <f>IF(G12&lt;=2,"Consistent","Inconsistent")</f>
        <v>Consistent</v>
      </c>
      <c r="I12" s="10"/>
      <c r="J12" s="21">
        <v>46085</v>
      </c>
      <c r="K12" s="12">
        <v>1</v>
      </c>
      <c r="L12" s="10">
        <f t="shared" si="1"/>
        <v>27</v>
      </c>
      <c r="M12" s="10" t="str">
        <f t="shared" si="2"/>
        <v>Inconsistent</v>
      </c>
    </row>
    <row r="13" spans="5:13" x14ac:dyDescent="0.2">
      <c r="E13" s="21">
        <v>46065</v>
      </c>
      <c r="F13" s="22">
        <v>0.71429999999999993</v>
      </c>
      <c r="G13" s="10">
        <f t="shared" si="0"/>
        <v>3</v>
      </c>
      <c r="H13" s="23" t="str">
        <f>IF(G13&lt;=2,"Consistent","Inconsistent")</f>
        <v>Inconsistent</v>
      </c>
      <c r="I13" s="10"/>
      <c r="J13" s="21">
        <v>46086</v>
      </c>
      <c r="K13" s="12">
        <v>0.70000000000000007</v>
      </c>
      <c r="L13" s="10">
        <f t="shared" si="1"/>
        <v>1</v>
      </c>
      <c r="M13" s="10" t="str">
        <f t="shared" si="2"/>
        <v>Consistent</v>
      </c>
    </row>
    <row r="14" spans="5:13" x14ac:dyDescent="0.2">
      <c r="E14" s="21">
        <v>46069</v>
      </c>
      <c r="F14" s="22">
        <v>0.85709999999999997</v>
      </c>
      <c r="G14" s="10">
        <f t="shared" si="0"/>
        <v>4</v>
      </c>
      <c r="H14" s="23" t="str">
        <f>IF(G14&lt;=2,"Consistent","Inconsistent")</f>
        <v>Inconsistent</v>
      </c>
      <c r="J14" s="4">
        <v>46095</v>
      </c>
      <c r="K14" s="12">
        <v>0.57140000000000002</v>
      </c>
      <c r="L14" s="10">
        <f t="shared" si="1"/>
        <v>9</v>
      </c>
      <c r="M14" s="10" t="str">
        <f t="shared" si="2"/>
        <v>Inconsistent</v>
      </c>
    </row>
    <row r="15" spans="5:13" x14ac:dyDescent="0.2">
      <c r="E15" s="21">
        <v>46070</v>
      </c>
      <c r="F15" s="22">
        <v>0.58330000000000015</v>
      </c>
      <c r="G15" s="10">
        <f t="shared" si="0"/>
        <v>1</v>
      </c>
      <c r="H15" s="23" t="str">
        <f>IF(G15&lt;=2,"Consistent","Inconsistent")</f>
        <v>Consistent</v>
      </c>
      <c r="J15" t="s">
        <v>40</v>
      </c>
      <c r="K15" s="12">
        <v>0.63156315789473683</v>
      </c>
      <c r="L15" s="10"/>
      <c r="M15" s="10"/>
    </row>
    <row r="16" spans="5:13" x14ac:dyDescent="0.2">
      <c r="E16" s="21">
        <v>46073</v>
      </c>
      <c r="F16" s="22">
        <v>0.5</v>
      </c>
      <c r="G16" s="10">
        <f t="shared" si="0"/>
        <v>3</v>
      </c>
      <c r="H16" s="23" t="str">
        <f>IF(G16&lt;=2,"Consistent","Inconsistent")</f>
        <v>Inconsistent</v>
      </c>
      <c r="J16" s="4">
        <v>46065</v>
      </c>
      <c r="K16" s="12">
        <v>0.71429999999999993</v>
      </c>
      <c r="L16" s="10"/>
      <c r="M16" s="10"/>
    </row>
    <row r="17" spans="5:13" x14ac:dyDescent="0.2">
      <c r="E17" s="21">
        <v>46077</v>
      </c>
      <c r="F17" s="22">
        <v>0.625</v>
      </c>
      <c r="G17" s="10">
        <f t="shared" si="0"/>
        <v>4</v>
      </c>
      <c r="H17" s="23" t="str">
        <f>IF(G17&lt;=2,"Consistent","Inconsistent")</f>
        <v>Inconsistent</v>
      </c>
      <c r="J17" s="4">
        <v>46070</v>
      </c>
      <c r="K17" s="12">
        <v>0.58330000000000015</v>
      </c>
      <c r="L17" s="10">
        <f>J17-J16</f>
        <v>5</v>
      </c>
      <c r="M17" s="10" t="str">
        <f>IF(L17&lt;=2, "Consistent","Inconsistent")</f>
        <v>Inconsistent</v>
      </c>
    </row>
    <row r="18" spans="5:13" x14ac:dyDescent="0.2">
      <c r="E18" s="21">
        <v>46078</v>
      </c>
      <c r="F18" s="22">
        <v>0.57140000000000002</v>
      </c>
      <c r="G18" s="10">
        <f t="shared" si="0"/>
        <v>1</v>
      </c>
      <c r="H18" s="23" t="str">
        <f>IF(G18&lt;=2,"Consistent","Inconsistent")</f>
        <v>Consistent</v>
      </c>
      <c r="J18" t="s">
        <v>33</v>
      </c>
      <c r="K18" s="12">
        <v>0.51350270270270282</v>
      </c>
      <c r="L18" s="10"/>
      <c r="M18" s="10"/>
    </row>
    <row r="19" spans="5:13" x14ac:dyDescent="0.2">
      <c r="E19" s="21">
        <v>46081</v>
      </c>
      <c r="F19" s="22">
        <v>0.90000000000000013</v>
      </c>
      <c r="G19" s="10">
        <f t="shared" si="0"/>
        <v>3</v>
      </c>
      <c r="H19" s="23" t="str">
        <f>IF(G19&lt;=2,"Consistent","Inconsistent")</f>
        <v>Inconsistent</v>
      </c>
      <c r="J19" s="4">
        <v>46061</v>
      </c>
      <c r="K19" s="12">
        <v>0.33329999999999999</v>
      </c>
      <c r="L19" s="10"/>
      <c r="M19" s="10"/>
    </row>
    <row r="20" spans="5:13" x14ac:dyDescent="0.2">
      <c r="E20" s="21">
        <v>46085</v>
      </c>
      <c r="F20" s="22">
        <v>1</v>
      </c>
      <c r="G20" s="10">
        <f t="shared" si="0"/>
        <v>4</v>
      </c>
      <c r="H20" s="23" t="str">
        <f>IF(G20&lt;=2,"Consistent","Inconsistent")</f>
        <v>Inconsistent</v>
      </c>
      <c r="J20" s="4">
        <v>46062</v>
      </c>
      <c r="K20" s="12">
        <v>0.5</v>
      </c>
      <c r="L20" s="10">
        <f>J20-J19</f>
        <v>1</v>
      </c>
      <c r="M20" s="10" t="str">
        <f>IF(L20&lt;=2, "Consistent","Inconsistent")</f>
        <v>Consistent</v>
      </c>
    </row>
    <row r="21" spans="5:13" x14ac:dyDescent="0.2">
      <c r="E21" s="21">
        <v>46086</v>
      </c>
      <c r="F21" s="22">
        <v>0.70000000000000007</v>
      </c>
      <c r="G21" s="10">
        <f t="shared" si="0"/>
        <v>1</v>
      </c>
      <c r="H21" s="23" t="str">
        <f>IF(G21&lt;=2,"Consistent","Inconsistent")</f>
        <v>Consistent</v>
      </c>
      <c r="J21" s="4">
        <v>46073</v>
      </c>
      <c r="K21" s="12">
        <v>0.5</v>
      </c>
      <c r="L21" s="10">
        <f t="shared" ref="L21:L23" si="3">J21-J20</f>
        <v>11</v>
      </c>
      <c r="M21" s="10" t="str">
        <f t="shared" ref="M21:M23" si="4">IF(L21&lt;=2, "Consistent","Inconsistent")</f>
        <v>Inconsistent</v>
      </c>
    </row>
    <row r="22" spans="5:13" x14ac:dyDescent="0.2">
      <c r="E22" s="21">
        <v>46090</v>
      </c>
      <c r="F22" s="22">
        <v>0.77780000000000005</v>
      </c>
      <c r="G22" s="10">
        <f t="shared" si="0"/>
        <v>4</v>
      </c>
      <c r="H22" s="23" t="str">
        <f>IF(G22&lt;=2,"Consistent","Inconsistent")</f>
        <v>Inconsistent</v>
      </c>
      <c r="J22" s="4">
        <v>46077</v>
      </c>
      <c r="K22" s="12">
        <v>0.625</v>
      </c>
      <c r="L22" s="10">
        <f t="shared" si="3"/>
        <v>4</v>
      </c>
      <c r="M22" s="10" t="str">
        <f t="shared" si="4"/>
        <v>Inconsistent</v>
      </c>
    </row>
    <row r="23" spans="5:13" x14ac:dyDescent="0.2">
      <c r="E23" s="21">
        <v>46094</v>
      </c>
      <c r="F23" s="22">
        <v>0.57140000000000002</v>
      </c>
      <c r="G23" s="10">
        <f t="shared" si="0"/>
        <v>4</v>
      </c>
      <c r="H23" s="23" t="str">
        <f>IF(G23&lt;=2,"Consistent","Inconsistent")</f>
        <v>Inconsistent</v>
      </c>
      <c r="J23" s="4">
        <v>46078</v>
      </c>
      <c r="K23" s="12">
        <v>0.57140000000000002</v>
      </c>
      <c r="L23" s="10">
        <f t="shared" si="3"/>
        <v>1</v>
      </c>
      <c r="M23" s="10" t="str">
        <f t="shared" si="4"/>
        <v>Consistent</v>
      </c>
    </row>
    <row r="24" spans="5:13" x14ac:dyDescent="0.2">
      <c r="E24" s="21">
        <v>46095</v>
      </c>
      <c r="F24" s="22">
        <v>0.57140000000000002</v>
      </c>
      <c r="G24" s="10">
        <f t="shared" si="0"/>
        <v>1</v>
      </c>
      <c r="H24" s="23" t="str">
        <f>IF(G24&lt;=2,"Consistent","Inconsistent")</f>
        <v>Consistent</v>
      </c>
      <c r="J24" s="36" t="s">
        <v>43</v>
      </c>
      <c r="K24" s="37">
        <v>0.7954522727272727</v>
      </c>
      <c r="L24" s="10"/>
      <c r="M24" s="10"/>
    </row>
    <row r="25" spans="5:13" x14ac:dyDescent="0.2">
      <c r="E25" s="21">
        <v>46099</v>
      </c>
      <c r="F25" s="22">
        <v>0.81819999999999993</v>
      </c>
      <c r="G25" s="10">
        <f t="shared" si="0"/>
        <v>4</v>
      </c>
      <c r="H25" s="23" t="str">
        <f>IF(G25&lt;=2,"Consistent","Inconsistent")</f>
        <v>Inconsistent</v>
      </c>
      <c r="J25" s="5">
        <v>46069</v>
      </c>
      <c r="K25" s="12">
        <v>0.85709999999999997</v>
      </c>
      <c r="L25" s="10"/>
      <c r="M25" s="10"/>
    </row>
    <row r="26" spans="5:13" x14ac:dyDescent="0.2">
      <c r="E26" s="10"/>
      <c r="F26" s="10"/>
      <c r="G26" s="10"/>
      <c r="H26" s="10"/>
      <c r="J26" s="5">
        <v>46081</v>
      </c>
      <c r="K26" s="12">
        <v>0.90000000000000013</v>
      </c>
      <c r="L26" s="10">
        <f>J26-J25</f>
        <v>12</v>
      </c>
      <c r="M26" s="10" t="str">
        <f>IF(L26&lt;=2, "Consistent","Inconsistent")</f>
        <v>Inconsistent</v>
      </c>
    </row>
    <row r="27" spans="5:13" x14ac:dyDescent="0.2">
      <c r="E27" s="38"/>
      <c r="F27" s="39"/>
      <c r="G27" s="39"/>
      <c r="H27" s="40"/>
      <c r="J27" s="5">
        <v>46090</v>
      </c>
      <c r="K27" s="12">
        <v>0.77780000000000005</v>
      </c>
      <c r="L27" s="10">
        <f t="shared" ref="L27:L29" si="5">J27-J26</f>
        <v>9</v>
      </c>
      <c r="M27" s="10" t="str">
        <f t="shared" ref="M27:M29" si="6">IF(L27&lt;=2, "Consistent","Inconsistent")</f>
        <v>Inconsistent</v>
      </c>
    </row>
    <row r="28" spans="5:13" x14ac:dyDescent="0.2">
      <c r="E28" s="30"/>
      <c r="F28" s="31"/>
      <c r="G28" s="10"/>
      <c r="H28" s="10"/>
      <c r="J28" s="5">
        <v>46094</v>
      </c>
      <c r="K28" s="12">
        <v>0.57140000000000002</v>
      </c>
      <c r="L28" s="10">
        <f t="shared" si="5"/>
        <v>4</v>
      </c>
      <c r="M28" s="10" t="str">
        <f t="shared" si="6"/>
        <v>Inconsistent</v>
      </c>
    </row>
    <row r="29" spans="5:13" x14ac:dyDescent="0.2">
      <c r="E29" s="5"/>
      <c r="F29" s="6"/>
      <c r="G29" s="10"/>
      <c r="H29" s="10"/>
      <c r="J29" s="5">
        <v>46099</v>
      </c>
      <c r="K29" s="12">
        <v>0.81819999999999993</v>
      </c>
      <c r="L29" s="10">
        <f t="shared" si="5"/>
        <v>5</v>
      </c>
      <c r="M29" s="10" t="str">
        <f t="shared" si="6"/>
        <v>Inconsistent</v>
      </c>
    </row>
    <row r="30" spans="5:13" x14ac:dyDescent="0.2">
      <c r="E30" s="5"/>
      <c r="F30" s="6"/>
      <c r="G30" s="10"/>
      <c r="H30" s="10"/>
    </row>
    <row r="31" spans="5:13" x14ac:dyDescent="0.2">
      <c r="E31" s="5"/>
      <c r="F31" s="6"/>
      <c r="G31" s="10"/>
      <c r="H31" s="10"/>
    </row>
    <row r="32" spans="5:13" x14ac:dyDescent="0.2">
      <c r="E32" s="5"/>
      <c r="F32" s="6"/>
      <c r="G32" s="10"/>
      <c r="H32" s="10"/>
    </row>
    <row r="33" spans="5:8" x14ac:dyDescent="0.2">
      <c r="E33" s="5"/>
      <c r="F33" s="6"/>
      <c r="G33" s="10"/>
      <c r="H33" s="10"/>
    </row>
  </sheetData>
  <conditionalFormatting sqref="H9:H25">
    <cfRule type="containsText" dxfId="15" priority="7" operator="containsText" text="Inconsistent">
      <formula>NOT(ISERROR(SEARCH("Inconsistent",H9)))</formula>
    </cfRule>
    <cfRule type="containsText" dxfId="14" priority="8" operator="containsText" text="Consistent">
      <formula>NOT(ISERROR(SEARCH("Consistent",H9)))</formula>
    </cfRule>
  </conditionalFormatting>
  <conditionalFormatting sqref="H30:H33">
    <cfRule type="containsText" dxfId="13" priority="5" operator="containsText" text="Inconsistent">
      <formula>NOT(ISERROR(SEARCH("Inconsistent",H30)))</formula>
    </cfRule>
    <cfRule type="containsText" dxfId="12" priority="6" operator="containsText" text="Consistent">
      <formula>NOT(ISERROR(SEARCH("Consistent",H30)))</formula>
    </cfRule>
  </conditionalFormatting>
  <conditionalFormatting sqref="M10:M23">
    <cfRule type="containsText" dxfId="11" priority="3" operator="containsText" text="Inconsistent">
      <formula>NOT(ISERROR(SEARCH("Inconsistent",M10)))</formula>
    </cfRule>
    <cfRule type="containsText" dxfId="10" priority="4" operator="containsText" text="Consistent">
      <formula>NOT(ISERROR(SEARCH("Consistent",M10)))</formula>
    </cfRule>
  </conditionalFormatting>
  <conditionalFormatting sqref="M26:M29">
    <cfRule type="containsText" dxfId="9" priority="1" operator="containsText" text="Inconsistent">
      <formula>NOT(ISERROR(SEARCH("Inconsistent",M26)))</formula>
    </cfRule>
    <cfRule type="containsText" dxfId="8" priority="2" operator="containsText" text="Consistent">
      <formula>NOT(ISERROR(SEARCH("Consistent",M26)))</formula>
    </cfRule>
  </conditionalFormatting>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E545-7A75-BE4A-98D2-14115C002F8C}">
  <dimension ref="C7:D14"/>
  <sheetViews>
    <sheetView workbookViewId="0">
      <selection activeCell="D14" sqref="D14"/>
    </sheetView>
  </sheetViews>
  <sheetFormatPr baseColWidth="10" defaultRowHeight="15" x14ac:dyDescent="0.2"/>
  <cols>
    <col min="1" max="1" width="18.5" bestFit="1" customWidth="1"/>
    <col min="2" max="2" width="28.83203125" bestFit="1" customWidth="1"/>
    <col min="3" max="3" width="18.5" bestFit="1" customWidth="1"/>
    <col min="4" max="4" width="28.83203125" bestFit="1" customWidth="1"/>
  </cols>
  <sheetData>
    <row r="7" spans="3:4" ht="19" x14ac:dyDescent="0.2">
      <c r="C7" s="19"/>
      <c r="D7" s="19"/>
    </row>
    <row r="8" spans="3:4" ht="19" x14ac:dyDescent="0.2">
      <c r="C8" s="18" t="s">
        <v>81</v>
      </c>
      <c r="D8" s="19" t="s">
        <v>82</v>
      </c>
    </row>
    <row r="9" spans="3:4" ht="19" x14ac:dyDescent="0.2">
      <c r="C9" s="19" t="s">
        <v>78</v>
      </c>
      <c r="D9" s="20">
        <v>0.62238571428571443</v>
      </c>
    </row>
    <row r="10" spans="3:4" ht="19" x14ac:dyDescent="0.2">
      <c r="C10" s="19" t="s">
        <v>79</v>
      </c>
      <c r="D10" s="20">
        <v>0.70971000000000006</v>
      </c>
    </row>
    <row r="11" spans="3:4" ht="19" x14ac:dyDescent="0.2">
      <c r="C11" s="19" t="s">
        <v>67</v>
      </c>
      <c r="D11" s="20">
        <v>0.67375294117647067</v>
      </c>
    </row>
    <row r="12" spans="3:4" ht="19" x14ac:dyDescent="0.2">
      <c r="C12" s="19"/>
      <c r="D12" s="19"/>
    </row>
    <row r="13" spans="3:4" ht="19" x14ac:dyDescent="0.25">
      <c r="C13" s="15"/>
      <c r="D13" s="15"/>
    </row>
    <row r="14" spans="3:4" ht="19" x14ac:dyDescent="0.25">
      <c r="C14" s="15"/>
      <c r="D14"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D04FF-0AE9-A246-ACC3-D0049BBE352F}">
  <dimension ref="A2:B27"/>
  <sheetViews>
    <sheetView zoomScale="107" workbookViewId="0">
      <selection activeCell="E16" sqref="E16"/>
    </sheetView>
  </sheetViews>
  <sheetFormatPr baseColWidth="10" defaultRowHeight="15" x14ac:dyDescent="0.2"/>
  <cols>
    <col min="1" max="1" width="15.6640625" bestFit="1" customWidth="1"/>
    <col min="2" max="2" width="14.6640625" bestFit="1" customWidth="1"/>
  </cols>
  <sheetData>
    <row r="2" spans="1:2" x14ac:dyDescent="0.2">
      <c r="A2" s="7"/>
      <c r="B2" s="7"/>
    </row>
    <row r="3" spans="1:2" x14ac:dyDescent="0.2">
      <c r="A3" s="8" t="s">
        <v>85</v>
      </c>
      <c r="B3" s="7" t="s">
        <v>69</v>
      </c>
    </row>
    <row r="4" spans="1:2" x14ac:dyDescent="0.2">
      <c r="A4" s="7" t="s">
        <v>18</v>
      </c>
      <c r="B4" s="9">
        <v>0.72341063829787211</v>
      </c>
    </row>
    <row r="5" spans="1:2" x14ac:dyDescent="0.2">
      <c r="A5" s="4">
        <v>46056</v>
      </c>
      <c r="B5" s="9">
        <v>0.71429999999999993</v>
      </c>
    </row>
    <row r="6" spans="1:2" x14ac:dyDescent="0.2">
      <c r="A6" s="4">
        <v>46057</v>
      </c>
      <c r="B6" s="9">
        <v>0.55559999999999998</v>
      </c>
    </row>
    <row r="7" spans="1:2" x14ac:dyDescent="0.2">
      <c r="A7" s="4">
        <v>46058</v>
      </c>
      <c r="B7" s="9">
        <v>0.875</v>
      </c>
    </row>
    <row r="8" spans="1:2" x14ac:dyDescent="0.2">
      <c r="A8" s="4">
        <v>46085</v>
      </c>
      <c r="B8" s="9">
        <v>1</v>
      </c>
    </row>
    <row r="9" spans="1:2" x14ac:dyDescent="0.2">
      <c r="A9" s="4">
        <v>46086</v>
      </c>
      <c r="B9" s="9">
        <v>0.70000000000000007</v>
      </c>
    </row>
    <row r="10" spans="1:2" x14ac:dyDescent="0.2">
      <c r="A10" s="4">
        <v>46095</v>
      </c>
      <c r="B10" s="9">
        <v>0.57140000000000002</v>
      </c>
    </row>
    <row r="11" spans="1:2" x14ac:dyDescent="0.2">
      <c r="A11" s="7" t="s">
        <v>40</v>
      </c>
      <c r="B11" s="9">
        <v>0.63156315789473683</v>
      </c>
    </row>
    <row r="12" spans="1:2" x14ac:dyDescent="0.2">
      <c r="A12" s="4">
        <v>46065</v>
      </c>
      <c r="B12" s="9">
        <v>0.71429999999999993</v>
      </c>
    </row>
    <row r="13" spans="1:2" x14ac:dyDescent="0.2">
      <c r="A13" s="4">
        <v>46070</v>
      </c>
      <c r="B13" s="9">
        <v>0.58330000000000015</v>
      </c>
    </row>
    <row r="14" spans="1:2" x14ac:dyDescent="0.2">
      <c r="A14" s="7" t="s">
        <v>33</v>
      </c>
      <c r="B14" s="9">
        <v>0.51350270270270282</v>
      </c>
    </row>
    <row r="15" spans="1:2" x14ac:dyDescent="0.2">
      <c r="A15" s="4">
        <v>46061</v>
      </c>
      <c r="B15" s="9">
        <v>0.33329999999999999</v>
      </c>
    </row>
    <row r="16" spans="1:2" x14ac:dyDescent="0.2">
      <c r="A16" s="4">
        <v>46062</v>
      </c>
      <c r="B16" s="9">
        <v>0.5</v>
      </c>
    </row>
    <row r="17" spans="1:2" x14ac:dyDescent="0.2">
      <c r="A17" s="4">
        <v>46073</v>
      </c>
      <c r="B17" s="9">
        <v>0.5</v>
      </c>
    </row>
    <row r="18" spans="1:2" x14ac:dyDescent="0.2">
      <c r="A18" s="4">
        <v>46077</v>
      </c>
      <c r="B18" s="9">
        <v>0.625</v>
      </c>
    </row>
    <row r="19" spans="1:2" x14ac:dyDescent="0.2">
      <c r="A19" s="4">
        <v>46078</v>
      </c>
      <c r="B19" s="9">
        <v>0.57140000000000002</v>
      </c>
    </row>
    <row r="20" spans="1:2" x14ac:dyDescent="0.2">
      <c r="A20" s="7" t="s">
        <v>43</v>
      </c>
      <c r="B20" s="9">
        <v>0.7954522727272727</v>
      </c>
    </row>
    <row r="21" spans="1:2" x14ac:dyDescent="0.2">
      <c r="A21" s="4">
        <v>46069</v>
      </c>
      <c r="B21" s="9">
        <v>0.85709999999999997</v>
      </c>
    </row>
    <row r="22" spans="1:2" x14ac:dyDescent="0.2">
      <c r="A22" s="4">
        <v>46081</v>
      </c>
      <c r="B22" s="9">
        <v>0.90000000000000013</v>
      </c>
    </row>
    <row r="23" spans="1:2" x14ac:dyDescent="0.2">
      <c r="A23" s="4">
        <v>46090</v>
      </c>
      <c r="B23" s="9">
        <v>0.77780000000000005</v>
      </c>
    </row>
    <row r="24" spans="1:2" x14ac:dyDescent="0.2">
      <c r="A24" s="4">
        <v>46094</v>
      </c>
      <c r="B24" s="9">
        <v>0.57140000000000002</v>
      </c>
    </row>
    <row r="25" spans="1:2" x14ac:dyDescent="0.2">
      <c r="A25" s="4">
        <v>46099</v>
      </c>
      <c r="B25" s="9">
        <v>0.81819999999999993</v>
      </c>
    </row>
    <row r="26" spans="1:2" x14ac:dyDescent="0.2">
      <c r="A26" s="7" t="s">
        <v>67</v>
      </c>
      <c r="B26" s="9">
        <v>0.68026870748299384</v>
      </c>
    </row>
    <row r="27" spans="1:2" x14ac:dyDescent="0.2">
      <c r="A27" s="7"/>
      <c r="B27" s="7"/>
    </row>
  </sheetData>
  <conditionalFormatting pivot="1" sqref="B5:B10 B12:B13 B15:B19 B21:B2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A2E54-D212-C941-B97B-FFF746FB90F8}">
  <dimension ref="A2:B14"/>
  <sheetViews>
    <sheetView topLeftCell="A2" zoomScale="125" workbookViewId="0">
      <selection activeCell="C9" sqref="C9"/>
    </sheetView>
  </sheetViews>
  <sheetFormatPr baseColWidth="10" defaultRowHeight="15" x14ac:dyDescent="0.2"/>
  <cols>
    <col min="1" max="1" width="20.83203125" bestFit="1" customWidth="1"/>
    <col min="2" max="3" width="24.33203125" bestFit="1" customWidth="1"/>
  </cols>
  <sheetData>
    <row r="2" spans="1:2" x14ac:dyDescent="0.2">
      <c r="A2" s="7"/>
      <c r="B2" s="7"/>
    </row>
    <row r="3" spans="1:2" x14ac:dyDescent="0.2">
      <c r="A3" s="8" t="s">
        <v>87</v>
      </c>
      <c r="B3" s="7" t="s">
        <v>80</v>
      </c>
    </row>
    <row r="4" spans="1:2" x14ac:dyDescent="0.2">
      <c r="A4" s="7" t="s">
        <v>78</v>
      </c>
      <c r="B4" s="9">
        <v>0.64040000000000008</v>
      </c>
    </row>
    <row r="5" spans="1:2" x14ac:dyDescent="0.2">
      <c r="A5" s="7">
        <v>1</v>
      </c>
      <c r="B5" s="9">
        <v>0.64040000000000008</v>
      </c>
    </row>
    <row r="6" spans="1:2" x14ac:dyDescent="0.2">
      <c r="A6" s="7" t="s">
        <v>79</v>
      </c>
      <c r="B6" s="9">
        <v>0.70523333333333349</v>
      </c>
    </row>
    <row r="7" spans="1:2" x14ac:dyDescent="0.2">
      <c r="A7" s="7">
        <v>4</v>
      </c>
      <c r="B7" s="9">
        <v>0.59820000000000007</v>
      </c>
    </row>
    <row r="8" spans="1:2" x14ac:dyDescent="0.2">
      <c r="A8" s="7">
        <v>5</v>
      </c>
      <c r="B8" s="9">
        <v>0.70074999999999998</v>
      </c>
    </row>
    <row r="9" spans="1:2" x14ac:dyDescent="0.2">
      <c r="A9" s="7">
        <v>9</v>
      </c>
      <c r="B9" s="9">
        <v>0.67460000000000009</v>
      </c>
    </row>
    <row r="10" spans="1:2" x14ac:dyDescent="0.2">
      <c r="A10" s="7">
        <v>11</v>
      </c>
      <c r="B10" s="9">
        <v>0.5</v>
      </c>
    </row>
    <row r="11" spans="1:2" x14ac:dyDescent="0.2">
      <c r="A11" s="7">
        <v>12</v>
      </c>
      <c r="B11" s="9">
        <v>0.90000000000000013</v>
      </c>
    </row>
    <row r="12" spans="1:2" x14ac:dyDescent="0.2">
      <c r="A12" s="7">
        <v>27</v>
      </c>
      <c r="B12" s="9">
        <v>1</v>
      </c>
    </row>
    <row r="13" spans="1:2" x14ac:dyDescent="0.2">
      <c r="A13" s="7" t="s">
        <v>67</v>
      </c>
      <c r="B13" s="9">
        <v>0.68207857142857153</v>
      </c>
    </row>
    <row r="14" spans="1:2" x14ac:dyDescent="0.2">
      <c r="A14" s="7"/>
      <c r="B14" s="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9862-BC46-C149-814A-A2C6980FC992}">
  <dimension ref="A1:Y44"/>
  <sheetViews>
    <sheetView zoomScale="69" workbookViewId="0">
      <selection activeCell="J40" sqref="J40"/>
    </sheetView>
  </sheetViews>
  <sheetFormatPr baseColWidth="10" defaultRowHeight="15" x14ac:dyDescent="0.2"/>
  <cols>
    <col min="7" max="7" width="14.33203125" customWidth="1"/>
    <col min="8" max="8" width="15" customWidth="1"/>
    <col min="9" max="9" width="16.5" customWidth="1"/>
    <col min="10" max="10" width="18.1640625" customWidth="1"/>
    <col min="11" max="11" width="15.6640625" customWidth="1"/>
    <col min="12" max="12" width="14.83203125" customWidth="1"/>
    <col min="13" max="13" width="16.5" customWidth="1"/>
    <col min="14" max="14" width="14.6640625" customWidth="1"/>
  </cols>
  <sheetData>
    <row r="1" spans="7:14" ht="16" x14ac:dyDescent="0.2">
      <c r="H1" s="46" t="s">
        <v>84</v>
      </c>
      <c r="I1" s="46"/>
      <c r="J1" s="46"/>
    </row>
    <row r="7" spans="7:14" x14ac:dyDescent="0.2">
      <c r="K7" s="28"/>
      <c r="L7" s="28"/>
    </row>
    <row r="9" spans="7:14" x14ac:dyDescent="0.2">
      <c r="G9" s="43"/>
      <c r="H9" s="43"/>
      <c r="I9" s="43"/>
      <c r="J9" s="43"/>
      <c r="K9" s="43"/>
      <c r="L9" s="43"/>
      <c r="M9" s="43"/>
    </row>
    <row r="10" spans="7:14" x14ac:dyDescent="0.2">
      <c r="G10" s="43"/>
      <c r="H10" s="43"/>
      <c r="I10" s="43"/>
      <c r="J10" s="43"/>
      <c r="K10" s="43"/>
      <c r="L10" s="43"/>
      <c r="M10" s="43"/>
    </row>
    <row r="11" spans="7:14" x14ac:dyDescent="0.2">
      <c r="H11" s="28"/>
      <c r="I11" s="28"/>
      <c r="J11" s="28"/>
      <c r="K11" s="28"/>
      <c r="L11" s="28"/>
      <c r="M11" s="28"/>
      <c r="N11" s="28"/>
    </row>
    <row r="12" spans="7:14" x14ac:dyDescent="0.2">
      <c r="H12" s="28"/>
      <c r="I12" s="28"/>
      <c r="J12" s="28"/>
      <c r="K12" s="28"/>
      <c r="L12" s="28"/>
      <c r="M12" s="28"/>
      <c r="N12" s="28"/>
    </row>
    <row r="19" spans="1:25" ht="15" customHeight="1" x14ac:dyDescent="0.2">
      <c r="Q19" s="28"/>
      <c r="R19" s="27"/>
      <c r="S19" s="27"/>
      <c r="T19" s="27"/>
      <c r="U19" s="42"/>
      <c r="V19" s="42"/>
      <c r="W19" s="42"/>
      <c r="X19" s="42"/>
      <c r="Y19" s="42"/>
    </row>
    <row r="20" spans="1:25" ht="15" customHeight="1" x14ac:dyDescent="0.25">
      <c r="A20" s="26" t="s">
        <v>69</v>
      </c>
      <c r="B20" s="17"/>
      <c r="C20" s="17"/>
      <c r="D20" s="17"/>
      <c r="E20" s="17"/>
      <c r="F20" s="17"/>
      <c r="H20" s="26" t="s">
        <v>69</v>
      </c>
      <c r="I20" s="26"/>
      <c r="J20" s="26"/>
      <c r="K20" s="26"/>
      <c r="L20" s="44"/>
      <c r="U20" s="42"/>
      <c r="V20" s="42"/>
      <c r="W20" s="42"/>
      <c r="X20" s="42"/>
      <c r="Y20" s="42"/>
    </row>
    <row r="23" spans="1:25" ht="15" customHeight="1" x14ac:dyDescent="0.2">
      <c r="G23" s="29"/>
      <c r="H23" s="27"/>
      <c r="I23" s="27"/>
      <c r="J23" s="27"/>
      <c r="K23" s="27"/>
      <c r="L23" s="27"/>
    </row>
    <row r="24" spans="1:25" ht="15" customHeight="1" x14ac:dyDescent="0.2">
      <c r="G24" s="29"/>
      <c r="H24" s="45" t="s">
        <v>86</v>
      </c>
      <c r="I24" s="45"/>
      <c r="J24" s="45"/>
      <c r="K24" s="45"/>
      <c r="L24" s="45"/>
      <c r="M24" s="45"/>
      <c r="N24" s="45"/>
    </row>
    <row r="25" spans="1:25" x14ac:dyDescent="0.2">
      <c r="G25" s="34"/>
      <c r="H25" s="45"/>
      <c r="I25" s="45"/>
      <c r="J25" s="45"/>
      <c r="K25" s="45"/>
      <c r="L25" s="45"/>
      <c r="M25" s="45"/>
      <c r="N25" s="45"/>
    </row>
    <row r="26" spans="1:25" x14ac:dyDescent="0.2">
      <c r="G26" s="34"/>
      <c r="H26" s="45"/>
      <c r="I26" s="45"/>
      <c r="J26" s="45"/>
      <c r="K26" s="45"/>
      <c r="L26" s="45"/>
      <c r="M26" s="45"/>
      <c r="N26" s="45"/>
    </row>
    <row r="27" spans="1:25" ht="15" customHeight="1" x14ac:dyDescent="0.2">
      <c r="G27" s="34"/>
      <c r="H27" s="45"/>
      <c r="I27" s="45"/>
      <c r="J27" s="45"/>
      <c r="K27" s="45"/>
      <c r="L27" s="45"/>
      <c r="M27" s="45"/>
      <c r="N27" s="45"/>
      <c r="S27" s="41"/>
      <c r="T27" s="41"/>
    </row>
    <row r="28" spans="1:25" x14ac:dyDescent="0.2">
      <c r="G28" s="34"/>
      <c r="H28" s="45"/>
      <c r="I28" s="45"/>
      <c r="J28" s="45"/>
      <c r="K28" s="45"/>
      <c r="L28" s="45"/>
      <c r="M28" s="45"/>
      <c r="N28" s="45"/>
      <c r="S28" s="41"/>
      <c r="T28" s="41"/>
    </row>
    <row r="29" spans="1:25" x14ac:dyDescent="0.2">
      <c r="G29" s="34"/>
      <c r="H29" s="45"/>
      <c r="I29" s="45"/>
      <c r="J29" s="45"/>
      <c r="K29" s="45"/>
      <c r="L29" s="45"/>
      <c r="M29" s="45"/>
      <c r="N29" s="45"/>
      <c r="S29" s="41"/>
      <c r="T29" s="41"/>
    </row>
    <row r="30" spans="1:25" x14ac:dyDescent="0.2">
      <c r="G30" s="34"/>
      <c r="H30" s="34"/>
      <c r="I30" s="34"/>
      <c r="J30" s="34"/>
      <c r="K30" s="34"/>
      <c r="S30" s="41"/>
      <c r="T30" s="41"/>
    </row>
    <row r="31" spans="1:25" x14ac:dyDescent="0.2">
      <c r="S31" s="41"/>
      <c r="T31" s="41"/>
    </row>
    <row r="32" spans="1:25" x14ac:dyDescent="0.2">
      <c r="S32" s="41"/>
      <c r="T32" s="41"/>
    </row>
    <row r="33" spans="1:20" x14ac:dyDescent="0.2">
      <c r="L33" s="41"/>
      <c r="M33" s="41"/>
      <c r="N33" s="41"/>
      <c r="O33" s="41"/>
      <c r="P33" s="41"/>
      <c r="Q33" s="41"/>
      <c r="R33" s="41"/>
      <c r="S33" s="41"/>
      <c r="T33" s="41"/>
    </row>
    <row r="34" spans="1:20" x14ac:dyDescent="0.2">
      <c r="L34" s="41"/>
      <c r="M34" s="41"/>
      <c r="N34" s="41"/>
      <c r="O34" s="41"/>
      <c r="P34" s="41"/>
      <c r="Q34" s="41"/>
      <c r="R34" s="41"/>
      <c r="S34" s="41"/>
      <c r="T34" s="41"/>
    </row>
    <row r="35" spans="1:20" x14ac:dyDescent="0.2">
      <c r="L35" s="41"/>
      <c r="M35" s="41"/>
      <c r="N35" s="41"/>
      <c r="O35" s="41"/>
      <c r="P35" s="41"/>
      <c r="Q35" s="41"/>
      <c r="R35" s="41"/>
      <c r="S35" s="41"/>
      <c r="T35" s="41"/>
    </row>
    <row r="36" spans="1:20" x14ac:dyDescent="0.2">
      <c r="L36" s="41"/>
      <c r="M36" s="41"/>
      <c r="N36" s="41"/>
      <c r="O36" s="41"/>
      <c r="P36" s="41"/>
      <c r="Q36" s="41"/>
      <c r="R36" s="41"/>
      <c r="S36" s="41"/>
      <c r="T36" s="41"/>
    </row>
    <row r="37" spans="1:20" x14ac:dyDescent="0.2">
      <c r="L37" s="41"/>
      <c r="M37" s="41"/>
      <c r="N37" s="41"/>
      <c r="O37" s="41"/>
      <c r="P37" s="41"/>
      <c r="Q37" s="41"/>
      <c r="R37" s="41"/>
      <c r="S37" s="41"/>
      <c r="T37" s="41"/>
    </row>
    <row r="44" spans="1:20" ht="19" x14ac:dyDescent="0.25">
      <c r="A44" s="26" t="s">
        <v>83</v>
      </c>
      <c r="B44" s="17"/>
      <c r="C44" s="17"/>
      <c r="D44" s="17"/>
      <c r="E44" s="17"/>
      <c r="F44" s="17"/>
    </row>
  </sheetData>
  <mergeCells count="5">
    <mergeCell ref="H1:J1"/>
    <mergeCell ref="H20:K20"/>
    <mergeCell ref="H24:N29"/>
    <mergeCell ref="A20:F20"/>
    <mergeCell ref="A44:F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RawData</vt:lpstr>
      <vt:lpstr>Cleaned_Data</vt:lpstr>
      <vt:lpstr>Data_Validation</vt:lpstr>
      <vt:lpstr>BTs_Analysis</vt:lpstr>
      <vt:lpstr>SessionLength_Analysis</vt:lpstr>
      <vt:lpstr>Consistency_Data</vt:lpstr>
      <vt:lpstr>Consistency_Analysis</vt:lpstr>
      <vt:lpstr>BTsSession_Analysis</vt:lpstr>
      <vt:lpstr>Gaps_Analysis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Osman, Abdirahim A</cp:lastModifiedBy>
  <dcterms:created xsi:type="dcterms:W3CDTF">2026-04-07T04:07:14Z</dcterms:created>
  <dcterms:modified xsi:type="dcterms:W3CDTF">2026-04-07T06:35:07Z</dcterms:modified>
</cp:coreProperties>
</file>